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6792a98f7ac233d9/Рабочий стол/"/>
    </mc:Choice>
  </mc:AlternateContent>
  <xr:revisionPtr revIDLastSave="141" documentId="11_CD56E94D20DF699C39DBCF97CC7B8667421CD02E" xr6:coauthVersionLast="47" xr6:coauthVersionMax="47" xr10:uidLastSave="{65BDB846-CF5F-4A45-92D3-3EC648D27D04}"/>
  <bookViews>
    <workbookView xWindow="-98" yWindow="-98" windowWidth="19396" windowHeight="11475" firstSheet="2" activeTab="4" xr2:uid="{00000000-000D-0000-FFFF-FFFF00000000}"/>
  </bookViews>
  <sheets>
    <sheet name="Лист1" sheetId="1" r:id="rId1"/>
    <sheet name="Лист2" sheetId="2" r:id="rId2"/>
    <sheet name="Объединение" sheetId="5" r:id="rId3"/>
    <sheet name="Сводная таблица " sheetId="6" r:id="rId4"/>
    <sheet name="График" sheetId="8" r:id="rId5"/>
  </sheets>
  <definedNames>
    <definedName name="ExternalData_2" localSheetId="2" hidden="1">Объединение!$A$1:$I$505</definedName>
  </definedName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r3VgOpKj0LI773MeeqSkWfF1GFyRyFpMSmwpz4xgUMs="/>
    </ext>
  </extLst>
</workbook>
</file>

<file path=xl/calcChain.xml><?xml version="1.0" encoding="utf-8"?>
<calcChain xmlns="http://schemas.openxmlformats.org/spreadsheetml/2006/main">
  <c r="E3" i="5" l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756939-6FA1-4E4B-8CCD-4D637EFC68B3}" keepAlive="1" name="Запрос — Слияние1" description="Соединение с запросом &quot;Слияние1&quot; в книге." type="5" refreshedVersion="8" background="1" saveData="1">
    <dbPr connection="Provider=Microsoft.Mashup.OleDb.1;Data Source=$Workbook$;Location=Слияние1;Extended Properties=&quot;&quot;" command="SELECT * FROM [Слияние1]"/>
  </connection>
  <connection id="2" xr16:uid="{EC533CF2-E3A7-419E-A340-14161F46F7EF}" keepAlive="1" name="Запрос — Таблица1" description="Соединение с запросом &quot;Таблица1&quot; в книге." type="5" refreshedVersion="0" background="1" saveData="1">
    <dbPr connection="Provider=Microsoft.Mashup.OleDb.1;Data Source=$Workbook$;Location=Таблица1;Extended Properties=&quot;&quot;" command="SELECT * FROM [Таблица1]"/>
  </connection>
  <connection id="3" xr16:uid="{EC7B8D61-D8CC-4378-A4C0-D2107894B993}" keepAlive="1" name="Запрос — Таблица2 (2)" description="Соединение с запросом &quot;Таблица2 (2)&quot; в книге." type="5" refreshedVersion="0" background="1">
    <dbPr connection="Provider=Microsoft.Mashup.OleDb.1;Data Source=$Workbook$;Location=&quot;Таблица2 (2)&quot;;Extended Properties=&quot;&quot;" command="SELECT * FROM [Таблица2 (2)]"/>
  </connection>
</connections>
</file>

<file path=xl/sharedStrings.xml><?xml version="1.0" encoding="utf-8"?>
<sst xmlns="http://schemas.openxmlformats.org/spreadsheetml/2006/main" count="1566" uniqueCount="35">
  <si>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</si>
  <si>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</si>
  <si>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</si>
  <si>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</si>
  <si>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</si>
  <si>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</si>
  <si>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</si>
  <si>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</si>
  <si>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</si>
  <si>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</si>
  <si>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</si>
  <si>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</si>
  <si>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</si>
  <si>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</si>
  <si>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</si>
  <si>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</si>
  <si>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</si>
  <si>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</si>
  <si>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</si>
  <si>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</si>
  <si>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</si>
  <si>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</si>
  <si>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</si>
  <si>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</si>
  <si>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</si>
  <si>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</si>
  <si>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</si>
  <si>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Названия строк</t>
  </si>
  <si>
    <t>Общий итог</t>
  </si>
  <si>
    <t>(Все)</t>
  </si>
  <si>
    <t>Общая сумма товарооборота</t>
  </si>
  <si>
    <t xml:space="preserve">Общий товарооборот, шт </t>
  </si>
  <si>
    <t>Сумма товарооборота на склад</t>
  </si>
  <si>
    <t xml:space="preserve">Доля от итоговой суммы </t>
  </si>
  <si>
    <t>Сумма товарооборота, руб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</si>
</sst>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#,##0.0"/>
  </numFmts>
  <fonts count="4" x14ac:knownFonts="1"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6">
    <border>
      <left/>
      <right/>
      <top/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/>
      <diagonal/>
    </border>
    <border>
      <left/>
      <right/>
      <top style="thin">
        <color rgb="FF8EAADB"/>
      </top>
      <bottom style="thin">
        <color rgb="FF8EAADB"/>
      </bottom>
      <diagonal/>
    </border>
    <border>
      <left/>
      <right/>
      <top/>
      <bottom style="thin">
        <color rgb="FF8EAA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vertical="center" wrapText="1"/>
    </xf>
    <xf numFmtId="0" fontId="2" fillId="3" borderId="1" xfId="0" applyFont="1" applyFill="1" applyBorder="1"/>
    <xf numFmtId="0" fontId="3" fillId="0" borderId="0" xfId="0" applyFont="1"/>
    <xf numFmtId="0" fontId="2" fillId="0" borderId="2" xfId="0" applyFont="1" applyBorder="1"/>
    <xf numFmtId="0" fontId="2" fillId="0" borderId="3" xfId="0" applyFont="1" applyBorder="1"/>
    <xf numFmtId="164" fontId="2" fillId="0" borderId="0" xfId="0" applyNumberFormat="1" applyFont="1"/>
    <xf numFmtId="0" fontId="1" fillId="2" borderId="4" xfId="0" applyFont="1" applyFill="1" applyBorder="1" applyAlignment="1">
      <alignment vertical="center" wrapText="1"/>
    </xf>
    <xf numFmtId="164" fontId="2" fillId="3" borderId="2" xfId="0" applyNumberFormat="1" applyFont="1" applyFill="1" applyBorder="1"/>
    <xf numFmtId="164" fontId="2" fillId="0" borderId="2" xfId="0" applyNumberFormat="1" applyFont="1" applyBorder="1"/>
    <xf numFmtId="164" fontId="2" fillId="0" borderId="3" xfId="0" applyNumberFormat="1" applyFont="1" applyBorder="1"/>
    <xf numFmtId="0" fontId="1" fillId="2" borderId="0" xfId="0" applyFont="1" applyFill="1" applyBorder="1" applyAlignment="1">
      <alignment vertical="center" wrapText="1"/>
    </xf>
    <xf numFmtId="22" fontId="0" fillId="0" borderId="0" xfId="0" applyNumberFormat="1"/>
    <xf numFmtId="0" fontId="0" fillId="0" borderId="0" xfId="0" applyNumberFormat="1"/>
    <xf numFmtId="16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5" xfId="0" applyBorder="1" applyAlignment="1">
      <alignment horizontal="left"/>
    </xf>
    <xf numFmtId="0" fontId="0" fillId="0" borderId="5" xfId="0" applyNumberFormat="1" applyBorder="1"/>
    <xf numFmtId="10" fontId="0" fillId="0" borderId="5" xfId="0" applyNumberFormat="1" applyBorder="1"/>
    <xf numFmtId="166" fontId="0" fillId="0" borderId="5" xfId="0" applyNumberFormat="1" applyBorder="1"/>
    <xf numFmtId="0" fontId="0" fillId="0" borderId="5" xfId="0" pivotButton="1" applyBorder="1"/>
    <xf numFmtId="0" fontId="0" fillId="0" borderId="5" xfId="0" applyBorder="1"/>
  </cellXfs>
  <cellStyles count="1">
    <cellStyle name="Обычный" xfId="0" builtinId="0"/>
  </cellStyles>
  <dxfs count="3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rgb="FF8EAADB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border diagonalUp="0" diagonalDown="0">
        <left/>
        <right/>
        <top style="thin">
          <color rgb="FF8EAADB"/>
        </top>
        <bottom/>
        <vertical/>
        <horizontal/>
      </border>
    </dxf>
    <dxf>
      <border outline="0">
        <left style="thin">
          <color rgb="FF8EAADB"/>
        </left>
        <top style="thin">
          <color rgb="FF8EAADB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border outline="0">
        <bottom style="thin">
          <color rgb="FF8EAADB"/>
        </bottom>
      </border>
    </dxf>
    <dxf>
      <border outline="0">
        <top style="thin">
          <color rgb="FF8EAADB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[Тестирование Аналитик  (1).xlsx]График!Сводная таблица2</c:name>
    <c:fmtId val="19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KZ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График!$B$3</c:f>
              <c:strCache>
                <c:ptCount val="1"/>
                <c:pt idx="0">
                  <c:v>Сумма товарооборота, руб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График!$B$4:$B$10</c:f>
              <c:numCache>
                <c:formatCode>General</c:formatCode>
                <c:ptCount val="6"/>
                <c:pt idx="0">
                  <c:v>836803032</c:v>
                </c:pt>
                <c:pt idx="1">
                  <c:v>983915409.85664999</c:v>
                </c:pt>
                <c:pt idx="2">
                  <c:v>947263006.72395003</c:v>
                </c:pt>
                <c:pt idx="3">
                  <c:v>1002691883.0466</c:v>
                </c:pt>
                <c:pt idx="4">
                  <c:v>1055653508.75385</c:v>
                </c:pt>
                <c:pt idx="5">
                  <c:v>136032376.68134999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DB-4EC2-83FC-DC67F10E4766}"/>
            </c:ext>
          </c:extLst>
        </c:ser>
        <c:ser>
          <c:idx val="1"/>
          <c:order val="1"/>
          <c:tx>
            <c:strRef>
              <c:f>График!$C$3</c:f>
              <c:strCache>
                <c:ptCount val="1"/>
                <c:pt idx="0">
                  <c:v>Сумма товарооборота на склад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График!$A$4:$A$10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График!$C$4:$C$10</c:f>
              <c:numCache>
                <c:formatCode>#\ ##0.0</c:formatCode>
                <c:ptCount val="6"/>
                <c:pt idx="0">
                  <c:v>156122.16146654726</c:v>
                </c:pt>
                <c:pt idx="1">
                  <c:v>186417.90965082607</c:v>
                </c:pt>
                <c:pt idx="2">
                  <c:v>186765.70242570812</c:v>
                </c:pt>
                <c:pt idx="3">
                  <c:v>205470.13482469096</c:v>
                </c:pt>
                <c:pt idx="4">
                  <c:v>218168.56492422579</c:v>
                </c:pt>
                <c:pt idx="5">
                  <c:v>29160.974898842644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DB-4EC2-83FC-DC67F10E4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687551"/>
        <c:axId val="88688031"/>
      </c:lineChart>
      <c:catAx>
        <c:axId val="886875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8688031"/>
        <c:crosses val="autoZero"/>
        <c:auto val="1"/>
        <c:lblAlgn val="ctr"/>
        <c:lblOffset val="100"/>
        <c:noMultiLvlLbl val="0"/>
      </c:catAx>
      <c:valAx>
        <c:axId val="88688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868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11904</xdr:colOff>
      <xdr:row>10</xdr:row>
      <xdr:rowOff>57149</xdr:rowOff>
    </xdr:from>
    <xdr:to>
      <xdr:col>3</xdr:col>
      <xdr:colOff>14287</xdr:colOff>
      <xdr:row>24</xdr:row>
      <xdr:rowOff>161924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1C16BF3-F4FE-F5E8-39EA-915B10AB20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5992.888515509258" createdVersion="8" refreshedVersion="8" minRefreshableVersion="3" recordCount="504" xr:uid="{C634C5D0-C9DE-46CA-81AF-B3064761F416}">
  <cacheSource type="worksheet">
    <worksheetSource name="Слияние1"/>
  </cacheSource>
  <cacheFields count="9">
    <cacheField name="Дата" numFmtId="22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6288246"/>
        <n v="787101"/>
        <n v="7163644.5"/>
        <n v="643944"/>
        <n v="2863600.5"/>
        <n v="3395892"/>
        <n v="2411587.5"/>
        <n v="2771116.5"/>
        <n v="2277072"/>
        <n v="2882458.5"/>
        <n v="20003263.5"/>
        <n v="2831019"/>
        <n v="21114898.5"/>
        <n v="2372310"/>
        <n v="2136817.5"/>
        <n v="2623480.5"/>
        <n v="992541"/>
        <n v="2711247"/>
        <n v="1102887"/>
        <n v="2970330"/>
        <n v="39918028.5"/>
        <n v="3031254"/>
        <n v="29159032.5"/>
        <n v="2595778.5"/>
        <n v="869983.5"/>
        <n v="2744382"/>
        <n v="6454458"/>
        <n v="2929330.5"/>
        <n v="7180498.5"/>
        <n v="2906763"/>
        <n v="2627595"/>
        <n v="2629782"/>
        <n v="2360914.5"/>
        <n v="2434914"/>
        <n v="20871391.5"/>
        <n v="2938623"/>
        <n v="21615333"/>
        <n v="3628726.5"/>
        <n v="2397588"/>
        <n v="3176580"/>
        <n v="981519"/>
        <n v="2817196.5"/>
        <n v="1115992.5"/>
        <n v="3312967.5"/>
        <n v="41559384"/>
        <n v="2645160"/>
        <n v="30869287.5"/>
        <n v="2472213"/>
        <n v="797919"/>
        <n v="2924746.5"/>
        <n v="6819594"/>
        <n v="3473895"/>
        <n v="7023727.5"/>
        <n v="3921784.5"/>
        <n v="2853310.5"/>
        <n v="2827773"/>
        <n v="7583758.5"/>
        <n v="2560080"/>
        <n v="6815511"/>
        <n v="21740460"/>
        <n v="6774946.5"/>
        <n v="22530000"/>
        <n v="6264933"/>
        <n v="2267664"/>
        <n v="6642249"/>
        <n v="1004511"/>
        <n v="1103068.5"/>
        <n v="5554192.5"/>
        <n v="404691"/>
        <n v="6676459.5"/>
        <n v="43028734.5"/>
        <n v="8893024.5"/>
        <n v="32418879"/>
        <n v="6398361"/>
        <n v="716196"/>
        <n v="6633847.5"/>
        <n v="7032225"/>
        <n v="7247575.5"/>
        <n v="6921316.5"/>
        <n v="4293241.5"/>
        <n v="6993952.5"/>
        <n v="3168510"/>
        <n v="7013670"/>
        <n v="23953536"/>
        <n v="6168657"/>
        <n v="25413351"/>
        <n v="8089143"/>
        <n v="2374356"/>
        <n v="6645603"/>
        <n v="1134444"/>
        <n v="1465842"/>
        <n v="7483194"/>
        <n v="505572"/>
        <n v="6293776.5"/>
        <n v="40077193.5"/>
        <n v="6591883.5"/>
        <n v="31053316.5"/>
        <n v="6451032"/>
        <n v="891139.5"/>
        <n v="1130506.5"/>
        <n v="4118251.5"/>
        <n v="938764.5"/>
        <n v="843727.5"/>
        <n v="2470465.5"/>
        <n v="1046400"/>
        <n v="728890.5"/>
        <n v="1682851.5"/>
        <n v="18625921.5"/>
        <n v="617881.5"/>
        <n v="19625364"/>
        <n v="983109"/>
        <n v="1799230.5"/>
        <n v="816859.5"/>
        <n v="732964.5"/>
        <n v="1053220.5"/>
        <n v="935523"/>
        <n v="433243.5"/>
        <n v="1037247"/>
        <n v="31843737"/>
        <n v="793320"/>
        <n v="24342016.5"/>
        <n v="865714.5"/>
        <n v="6221320.5"/>
        <n v="7512646.5"/>
        <n v="637881"/>
        <n v="2720002.5"/>
        <n v="9164707.5"/>
        <n v="696832.5"/>
        <n v="1906557"/>
        <n v="1241383.5"/>
        <n v="25519072.5"/>
        <n v="6641569.5"/>
        <n v="26492278.5"/>
        <n v="1030440"/>
        <n v="2170309.5"/>
        <n v="816150"/>
        <n v="1004788.5"/>
        <n v="1120009.5"/>
        <n v="959703"/>
        <n v="665302.5"/>
        <n v="863754"/>
        <n v="36631999.5"/>
        <n v="828984"/>
        <n v="28427001"/>
        <n v="1045515"/>
        <n v="1260483"/>
        <n v="5561452.5"/>
        <n v="1114552.5"/>
        <n v="3222517.5"/>
        <n v="2817853.5"/>
        <n v="2865337.5"/>
        <n v="2694289.5"/>
        <n v="2155668"/>
        <n v="2902167"/>
        <n v="22796827.5"/>
        <n v="2450968.5"/>
        <n v="24292218"/>
        <n v="906343.5"/>
        <n v="2907411"/>
        <n v="1085211"/>
        <n v="610855.5"/>
        <n v="2370432"/>
        <n v="38406954"/>
        <n v="2853181.5"/>
        <n v="29357940"/>
        <n v="2692230"/>
        <n v="2079900"/>
        <n v="5770539"/>
        <n v="2373337.5"/>
        <n v="2648688"/>
        <n v="2232519"/>
        <n v="2380333.5"/>
        <n v="3385372.5"/>
        <n v="20880142.5"/>
        <n v="2865727.5"/>
        <n v="21919435.5"/>
        <n v="2862298.5"/>
        <n v="1145575.5"/>
        <n v="2271454.5"/>
        <n v="1384179"/>
        <n v="2350672.5"/>
        <n v="694593"/>
        <n v="2915533.5"/>
        <n v="35671734"/>
        <n v="2991999"/>
        <n v="27278441.145"/>
        <n v="3654166.5"/>
        <n v="3004213.5"/>
        <n v="5454121.5"/>
        <n v="32235864"/>
        <n v="27093624"/>
        <n v="2738127"/>
        <n v="26659930.5"/>
        <n v="29768199"/>
        <n v="2159350.5"/>
        <n v="22126444.5"/>
        <n v="23032992"/>
        <n v="27872617.898850001"/>
        <n v="1016566.5"/>
        <n v="1221057"/>
        <n v="29042520"/>
        <n v="739291.5"/>
        <n v="27852900"/>
        <n v="38092344"/>
        <n v="29368771.617449999"/>
        <n v="28770810.105599999"/>
        <n v="6175837.5"/>
        <n v="26467453.5"/>
        <n v="2934504"/>
        <n v="35103926.711549997"/>
        <n v="2308336.5"/>
        <n v="27165913.5"/>
        <n v="21463023"/>
        <n v="22460130"/>
        <n v="29536176.10605"/>
        <n v="38091556.5"/>
        <n v="965880"/>
        <n v="25325271"/>
        <n v="1123894.5"/>
        <n v="28188534"/>
        <n v="769276.5"/>
        <n v="42323631"/>
        <n v="33763989"/>
        <n v="37023243"/>
        <n v="36834567"/>
        <n v="38693427"/>
        <n v="5365708.5"/>
        <n v="3201358.5"/>
        <n v="38365960.5"/>
        <n v="2235960"/>
        <n v="22846078.5"/>
        <n v="39578577"/>
        <n v="23881948.5"/>
        <n v="37902156.57"/>
        <n v="39639309"/>
        <n v="1046848.5"/>
        <n v="1269786"/>
        <n v="798759"/>
        <n v="37197115.5"/>
        <n v="49123180.5"/>
        <n v="29327766"/>
        <n v="35724493.5"/>
        <n v="7253427"/>
        <n v="46408080"/>
        <n v="3084892.5"/>
        <n v="28151004.75"/>
        <n v="36883428"/>
        <n v="2384937"/>
        <n v="18085798.5"/>
        <n v="39010875"/>
        <n v="19218631.5"/>
        <n v="955801.5"/>
        <n v="38191381.5"/>
        <n v="1222932"/>
        <n v="6652179"/>
        <n v="1081216.5"/>
        <n v="6173463"/>
        <n v="5952802.5"/>
        <n v="7726069.5"/>
        <n v="3549097.5"/>
        <n v="5864989.5"/>
        <n v="2767270.5"/>
        <n v="5523145.5"/>
        <n v="23443725"/>
        <n v="5864085"/>
        <n v="24890404.5"/>
        <n v="7121946"/>
        <n v="1216557"/>
        <n v="1471537.5"/>
        <n v="6333828"/>
        <n v="1198285.5"/>
        <n v="39380178"/>
        <n v="46370904"/>
        <n v="5178169.5"/>
        <n v="7173117"/>
        <n v="6398719.5"/>
        <n v="37947688.5"/>
        <n v="3079630.5"/>
        <n v="5704650"/>
        <n v="2479396.5"/>
        <n v="2164365"/>
        <n v="16971231"/>
        <n v="17919144"/>
        <n v="3911979"/>
        <n v="6098236.5"/>
        <n v="880356"/>
        <n v="4025148"/>
        <n v="1096002"/>
        <n v="3552937.5"/>
        <n v="1081158"/>
        <n v="3191155.5"/>
        <n v="33781581"/>
        <n v="24628233.223949999"/>
        <n v="734335.5"/>
        <n v="3700311"/>
        <n v="3080614.5"/>
        <n v="2243160"/>
        <n v="3810394.5"/>
        <n v="18718036.5"/>
        <n v="3918987"/>
        <n v="19205179.5"/>
        <n v="1092277.5"/>
        <n v="3288069"/>
        <n v="1123830"/>
        <n v="6500848.5"/>
        <n v="989632.5"/>
        <n v="9098386.5"/>
        <n v="3883215"/>
        <n v="6101931"/>
        <n v="3561655.5"/>
        <n v="2263651.5"/>
        <n v="18784000.5"/>
        <n v="19437273"/>
        <n v="3449302.5"/>
        <n v="3994153.5"/>
        <n v="1172691"/>
        <n v="4456441.5"/>
        <n v="1243507.5"/>
        <n v="3893680.5"/>
        <n v="949912.5"/>
        <n v="1601425.5"/>
        <n v="1364847"/>
        <n v="1377577.5"/>
        <n v="5366602.5"/>
        <n v="6053649"/>
        <n v="3166479"/>
        <n v="2703132"/>
        <n v="1489132.5"/>
        <n v="2225341.5"/>
        <n v="18640998"/>
        <n v="19942435.5"/>
        <n v="1380751.5"/>
        <n v="2441520"/>
        <n v="1430254.5"/>
        <n v="1131676.5"/>
        <n v="1223491.5"/>
        <n v="963502.5"/>
        <n v="37963150.5"/>
        <n v="28181292"/>
        <n v="981564"/>
        <n v="1854001.5"/>
        <n v="6293952"/>
        <n v="1507867.5"/>
        <n v="6876454.5"/>
        <n v="3772258.5"/>
        <n v="3038293.5"/>
        <n v="2477487"/>
        <n v="21895294.5"/>
        <n v="1548099"/>
        <n v="23085222"/>
        <n v="1215033"/>
        <n v="2949078"/>
        <n v="1403047.5"/>
        <n v="1091040"/>
        <n v="1060489.5"/>
        <n v="1370482.5"/>
        <n v="1122730.5"/>
        <n v="42271377"/>
        <n v="32354331"/>
        <n v="1150579.5"/>
        <n v="1152054"/>
        <n v="1103623.5"/>
        <n v="1104858"/>
        <n v="2922883.5"/>
        <n v="22355338.5"/>
        <n v="23689383"/>
        <n v="1592119.5"/>
        <n v="1316350.5"/>
        <n v="2457252"/>
        <n v="1315075.5"/>
        <n v="1487928"/>
        <n v="1230687"/>
        <n v="2435632.5"/>
        <n v="1184865"/>
        <n v="18449091"/>
        <n v="19546386"/>
        <n v="2446530"/>
        <n v="1157529"/>
        <n v="2410803"/>
        <n v="5798476.5"/>
        <n v="2198935.5"/>
        <n v="6609714"/>
        <n v="2520759"/>
        <n v="3360135"/>
        <n v="2826379.5"/>
        <n v="2324490"/>
        <n v="1336789.5"/>
        <n v="19855122"/>
        <n v="20422435.5"/>
        <n v="1609090.5"/>
        <n v="2588148"/>
        <n v="1230711"/>
        <n v="3089140.5"/>
        <n v="1246162.5"/>
        <n v="1239747"/>
        <n v="1115146.5"/>
        <n v="2512803"/>
        <n v="36876888"/>
        <n v="27535284.147600003"/>
        <n v="936427.5"/>
        <n v="2526909"/>
        <n v="2794324.5"/>
        <n v="20590072.5"/>
        <n v="3005334"/>
        <n v="21945858"/>
        <n v="2559211.5"/>
        <n v="1126810.5"/>
        <n v="25163431.5"/>
        <n v="22253295"/>
        <n v="21959286"/>
        <n v="21411349.5"/>
        <n v="1217749.5"/>
        <n v="28590910.5"/>
        <n v="20582743.5"/>
        <n v="19959801"/>
        <n v="21042673.5"/>
        <n v="1172574"/>
        <n v="23856345"/>
        <n v="5943489"/>
        <n v="7728465"/>
        <n v="4840833"/>
        <n v="21585316.5"/>
        <n v="3091069.5"/>
        <n v="2540715"/>
        <n v="24527245.5"/>
        <n v="20812585.5"/>
        <n v="22380772.5"/>
        <n v="26806626"/>
        <n v="3414180"/>
        <n v="20535733.5"/>
        <n v="1398771"/>
        <n v="19806927"/>
        <n v="1774329"/>
        <n v="1411909.5"/>
        <n v="39498373.5"/>
        <n v="29465769"/>
        <n v="1455049.5"/>
        <n v="19071117"/>
        <n v="20717248.5"/>
        <n v="24151980"/>
        <n v="19549036.5"/>
        <n v="1457391"/>
        <n v="833815.5"/>
        <n v="1326705"/>
        <n v="1386262.5"/>
        <n v="1210456.5"/>
        <n v="636345"/>
        <n v="493893"/>
        <n v="928675.5"/>
        <n v="651237"/>
        <n v="694669.5"/>
        <n v="3015751.5"/>
        <n v="468835.5"/>
        <n v="1773154.5"/>
        <n v="1387443"/>
        <n v="2945035.5"/>
        <n v="866023.5"/>
        <n v="3193167"/>
        <n v="6701083.5"/>
        <n v="6829921.5"/>
        <n v="1423410"/>
        <n v="1054798.5"/>
        <n v="1007742"/>
        <n v="5985894"/>
        <n v="7387116"/>
        <n v="3780852"/>
        <n v="2458555.5"/>
        <n v="1273464"/>
        <n v="20953324.5"/>
        <n v="2924133"/>
        <n v="22342300.5"/>
        <n v="3013512"/>
        <n v="1350199.5"/>
        <n v="1603084.5"/>
        <n v="1211457"/>
        <n v="39034861.5"/>
        <n v="29256993"/>
        <n v="3258054"/>
        <n v="687684"/>
        <n v="27770092.5"/>
        <n v="37257840.18135"/>
        <n v="41767140.105000004"/>
        <n v="5800290"/>
        <n v="7228395"/>
        <n v="54172029"/>
        <n v="4108596"/>
        <n v="2854741.5"/>
        <n v="22416151.5"/>
        <n v="23120443.5"/>
        <n v="3865251"/>
        <n v="1438255.5"/>
        <n v="1764669"/>
        <n v="1549020"/>
        <n v="850840.5"/>
        <n v="1526608.5"/>
        <n v="1565632.5"/>
        <n v="2538967.5"/>
        <n v="19465372.5"/>
        <n v="18914194.5"/>
        <n v="389013"/>
        <n v="1293219"/>
        <n v="410892"/>
        <n v="802447.5"/>
      </sharedItems>
    </cacheField>
    <cacheField name="Товарооборот на склад" numFmtId="166">
      <sharedItems containsSemiMixedTypes="0" containsString="0" containsNumber="1" minValue="285.7" maxValue="5107.2777777777774"/>
    </cacheField>
    <cacheField name="Неделя" numFmtId="0">
      <sharedItems containsSemiMixedTypes="0" containsString="0" containsNumber="1" containsInteger="1" minValue="18" maxValue="23" count="6">
        <n v="22"/>
        <n v="18"/>
        <n v="20"/>
        <n v="21"/>
        <n v="19"/>
        <n v="23"/>
      </sharedItems>
    </cacheField>
    <cacheField name="Количество складов" numFmtId="0">
      <sharedItems containsSemiMixedTypes="0" containsString="0" containsNumber="1" containsInteger="1" minValue="6" maxValue="129"/>
    </cacheField>
    <cacheField name="Количество заказов" numFmtId="0">
      <sharedItems containsSemiMixedTypes="0" containsString="0" containsNumber="1" containsInteger="1" minValue="237" maxValue="25828"/>
    </cacheField>
    <cacheField name="Количество клиентов" numFmtId="0">
      <sharedItems containsSemiMixedTypes="0" containsString="0" containsNumber="1" containsInteger="1" minValue="175" maxValue="239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n v="529.6"/>
    <x v="0"/>
    <n v="15"/>
    <n v="441"/>
    <n v="368"/>
  </r>
  <r>
    <d v="2020-04-28T00:00:00"/>
    <x v="1"/>
    <n v="73147.5"/>
    <x v="1"/>
    <n v="2031.875"/>
    <x v="1"/>
    <n v="36"/>
    <n v="4923"/>
    <n v="4560"/>
  </r>
  <r>
    <d v="2020-05-30T00:00:00"/>
    <x v="0"/>
    <n v="10029"/>
    <x v="2"/>
    <n v="668.6"/>
    <x v="0"/>
    <n v="15"/>
    <n v="490"/>
    <n v="409"/>
  </r>
  <r>
    <d v="2020-04-28T00:00:00"/>
    <x v="2"/>
    <n v="81826.5"/>
    <x v="3"/>
    <n v="2639.5645161290322"/>
    <x v="1"/>
    <n v="31"/>
    <n v="5465"/>
    <n v="5096"/>
  </r>
  <r>
    <d v="2020-05-28T00:00:00"/>
    <x v="0"/>
    <n v="8536.5"/>
    <x v="4"/>
    <n v="569.1"/>
    <x v="0"/>
    <n v="15"/>
    <n v="464"/>
    <n v="390"/>
  </r>
  <r>
    <d v="2020-04-28T00:00:00"/>
    <x v="3"/>
    <n v="32181"/>
    <x v="5"/>
    <n v="1693.7368421052631"/>
    <x v="1"/>
    <n v="19"/>
    <n v="1846"/>
    <n v="1681"/>
  </r>
  <r>
    <d v="2020-05-16T00:00:00"/>
    <x v="4"/>
    <n v="38947.5"/>
    <x v="6"/>
    <n v="1854.6428571428571"/>
    <x v="2"/>
    <n v="21"/>
    <n v="2145"/>
    <n v="1947"/>
  </r>
  <r>
    <d v="2020-04-28T00:00:00"/>
    <x v="4"/>
    <n v="26940"/>
    <x v="7"/>
    <n v="1496.6666666666667"/>
    <x v="1"/>
    <n v="18"/>
    <n v="1539"/>
    <n v="1404"/>
  </r>
  <r>
    <d v="2020-05-19T00:00:00"/>
    <x v="4"/>
    <n v="31842"/>
    <x v="8"/>
    <n v="1516.2857142857142"/>
    <x v="3"/>
    <n v="21"/>
    <n v="1860"/>
    <n v="1704"/>
  </r>
  <r>
    <d v="2020-04-28T00:00:00"/>
    <x v="5"/>
    <n v="25149"/>
    <x v="9"/>
    <n v="1397.1666666666667"/>
    <x v="1"/>
    <n v="18"/>
    <n v="1505"/>
    <n v="1368"/>
  </r>
  <r>
    <d v="2020-05-17T00:00:00"/>
    <x v="4"/>
    <n v="32023.5"/>
    <x v="10"/>
    <n v="1524.9285714285713"/>
    <x v="2"/>
    <n v="21"/>
    <n v="1874"/>
    <n v="1705"/>
  </r>
  <r>
    <d v="2020-04-28T00:00:00"/>
    <x v="6"/>
    <n v="195705"/>
    <x v="11"/>
    <n v="3624.1666666666665"/>
    <x v="1"/>
    <n v="54"/>
    <n v="12306"/>
    <n v="11532"/>
  </r>
  <r>
    <d v="2020-05-09T00:00:00"/>
    <x v="4"/>
    <n v="31147.5"/>
    <x v="12"/>
    <n v="1483.2142857142858"/>
    <x v="4"/>
    <n v="21"/>
    <n v="1735"/>
    <n v="1568"/>
  </r>
  <r>
    <d v="2020-04-28T00:00:00"/>
    <x v="7"/>
    <n v="204637.5"/>
    <x v="13"/>
    <n v="3468.4322033898306"/>
    <x v="1"/>
    <n v="59"/>
    <n v="12943"/>
    <n v="12072"/>
  </r>
  <r>
    <d v="2020-05-04T00:00:00"/>
    <x v="4"/>
    <n v="25566"/>
    <x v="14"/>
    <n v="1278.3"/>
    <x v="4"/>
    <n v="20"/>
    <n v="1519"/>
    <n v="1372"/>
  </r>
  <r>
    <d v="2020-04-28T00:00:00"/>
    <x v="8"/>
    <n v="23314.5"/>
    <x v="15"/>
    <n v="1371.4411764705883"/>
    <x v="1"/>
    <n v="17"/>
    <n v="1439"/>
    <n v="1265"/>
  </r>
  <r>
    <d v="2020-04-29T00:00:00"/>
    <x v="4"/>
    <n v="29319"/>
    <x v="16"/>
    <n v="1628.8333333333333"/>
    <x v="1"/>
    <n v="18"/>
    <n v="1684"/>
    <n v="1528"/>
  </r>
  <r>
    <d v="2020-04-28T00:00:00"/>
    <x v="9"/>
    <n v="12541.5"/>
    <x v="17"/>
    <n v="836.1"/>
    <x v="1"/>
    <n v="15"/>
    <n v="636"/>
    <n v="547"/>
  </r>
  <r>
    <d v="2020-05-02T00:00:00"/>
    <x v="4"/>
    <n v="29031"/>
    <x v="18"/>
    <n v="1612.8333333333333"/>
    <x v="1"/>
    <n v="18"/>
    <n v="1708"/>
    <n v="1534"/>
  </r>
  <r>
    <d v="2020-04-28T00:00:00"/>
    <x v="10"/>
    <n v="13303.5"/>
    <x v="19"/>
    <n v="886.9"/>
    <x v="1"/>
    <n v="15"/>
    <n v="780"/>
    <n v="690"/>
  </r>
  <r>
    <d v="2020-05-26T00:00:00"/>
    <x v="4"/>
    <n v="33423"/>
    <x v="20"/>
    <n v="1671.15"/>
    <x v="0"/>
    <n v="20"/>
    <n v="2044"/>
    <n v="1863"/>
  </r>
  <r>
    <d v="2020-04-28T00:00:00"/>
    <x v="11"/>
    <n v="376060.5"/>
    <x v="21"/>
    <n v="3008.4839999999999"/>
    <x v="1"/>
    <n v="125"/>
    <n v="20914"/>
    <n v="19479"/>
  </r>
  <r>
    <d v="2020-05-01T00:00:00"/>
    <x v="4"/>
    <n v="32487"/>
    <x v="22"/>
    <n v="1804.8333333333333"/>
    <x v="1"/>
    <n v="18"/>
    <n v="1826"/>
    <n v="1633"/>
  </r>
  <r>
    <d v="2020-04-28T00:00:00"/>
    <x v="12"/>
    <n v="286002"/>
    <x v="23"/>
    <n v="2234.390625"/>
    <x v="1"/>
    <n v="128"/>
    <n v="16450"/>
    <n v="15320"/>
  </r>
  <r>
    <d v="2020-05-12T00:00:00"/>
    <x v="4"/>
    <n v="28219.5"/>
    <x v="24"/>
    <n v="1343.7857142857142"/>
    <x v="2"/>
    <n v="21"/>
    <n v="1656"/>
    <n v="1516"/>
  </r>
  <r>
    <d v="2020-04-28T00:00:00"/>
    <x v="13"/>
    <n v="12331.5"/>
    <x v="25"/>
    <n v="1233.1500000000001"/>
    <x v="1"/>
    <n v="10"/>
    <n v="580"/>
    <n v="506"/>
  </r>
  <r>
    <d v="2020-05-21T00:00:00"/>
    <x v="4"/>
    <n v="31272"/>
    <x v="26"/>
    <n v="1489.1428571428571"/>
    <x v="3"/>
    <n v="21"/>
    <n v="1787"/>
    <n v="1626"/>
  </r>
  <r>
    <d v="2020-04-29T00:00:00"/>
    <x v="1"/>
    <n v="74707.5"/>
    <x v="27"/>
    <n v="2075.2083333333335"/>
    <x v="1"/>
    <n v="36"/>
    <n v="4937"/>
    <n v="4561"/>
  </r>
  <r>
    <d v="2020-05-20T00:00:00"/>
    <x v="4"/>
    <n v="34077"/>
    <x v="28"/>
    <n v="1622.7142857142858"/>
    <x v="3"/>
    <n v="21"/>
    <n v="1921"/>
    <n v="1767"/>
  </r>
  <r>
    <d v="2020-04-29T00:00:00"/>
    <x v="2"/>
    <n v="79527"/>
    <x v="29"/>
    <n v="2565.3870967741937"/>
    <x v="1"/>
    <n v="31"/>
    <n v="5378"/>
    <n v="4985"/>
  </r>
  <r>
    <d v="2020-05-05T00:00:00"/>
    <x v="4"/>
    <n v="31566"/>
    <x v="30"/>
    <n v="1578.3"/>
    <x v="4"/>
    <n v="20"/>
    <n v="1773"/>
    <n v="1604"/>
  </r>
  <r>
    <d v="2020-04-29T00:00:00"/>
    <x v="3"/>
    <n v="29142"/>
    <x v="31"/>
    <n v="1533.7894736842106"/>
    <x v="1"/>
    <n v="19"/>
    <n v="1676"/>
    <n v="1516"/>
  </r>
  <r>
    <d v="2020-05-13T00:00:00"/>
    <x v="4"/>
    <n v="29241"/>
    <x v="32"/>
    <n v="1392.4285714285713"/>
    <x v="2"/>
    <n v="21"/>
    <n v="1698"/>
    <n v="1554"/>
  </r>
  <r>
    <d v="2020-04-29T00:00:00"/>
    <x v="5"/>
    <n v="25816.5"/>
    <x v="33"/>
    <n v="1434.25"/>
    <x v="1"/>
    <n v="18"/>
    <n v="1599"/>
    <n v="1450"/>
  </r>
  <r>
    <d v="2020-05-03T00:00:00"/>
    <x v="4"/>
    <n v="26082"/>
    <x v="34"/>
    <n v="1304.0999999999999"/>
    <x v="1"/>
    <n v="20"/>
    <n v="1520"/>
    <n v="1373"/>
  </r>
  <r>
    <d v="2020-04-29T00:00:00"/>
    <x v="6"/>
    <n v="203209.5"/>
    <x v="35"/>
    <n v="3763.1388888888887"/>
    <x v="1"/>
    <n v="54"/>
    <n v="12747"/>
    <n v="11884"/>
  </r>
  <r>
    <d v="2020-05-06T00:00:00"/>
    <x v="4"/>
    <n v="32511"/>
    <x v="36"/>
    <n v="1625.55"/>
    <x v="4"/>
    <n v="20"/>
    <n v="1784"/>
    <n v="1632"/>
  </r>
  <r>
    <d v="2020-04-29T00:00:00"/>
    <x v="7"/>
    <n v="208351.5"/>
    <x v="37"/>
    <n v="3531.3813559322034"/>
    <x v="1"/>
    <n v="59"/>
    <n v="13186"/>
    <n v="12251"/>
  </r>
  <r>
    <d v="2020-05-23T00:00:00"/>
    <x v="4"/>
    <n v="42703.5"/>
    <x v="38"/>
    <n v="2033.5"/>
    <x v="3"/>
    <n v="21"/>
    <n v="2340"/>
    <n v="2146"/>
  </r>
  <r>
    <d v="2020-04-29T00:00:00"/>
    <x v="8"/>
    <n v="25917"/>
    <x v="39"/>
    <n v="1439.8333333333333"/>
    <x v="1"/>
    <n v="18"/>
    <n v="1534"/>
    <n v="1369"/>
  </r>
  <r>
    <d v="2020-05-25T00:00:00"/>
    <x v="4"/>
    <n v="35592"/>
    <x v="40"/>
    <n v="1779.6"/>
    <x v="0"/>
    <n v="20"/>
    <n v="2087"/>
    <n v="1914"/>
  </r>
  <r>
    <d v="2020-04-29T00:00:00"/>
    <x v="9"/>
    <n v="12250.5"/>
    <x v="41"/>
    <n v="816.7"/>
    <x v="1"/>
    <n v="15"/>
    <n v="659"/>
    <n v="575"/>
  </r>
  <r>
    <d v="2020-04-30T00:00:00"/>
    <x v="4"/>
    <n v="30445.5"/>
    <x v="42"/>
    <n v="1602.3947368421052"/>
    <x v="1"/>
    <n v="19"/>
    <n v="1712"/>
    <n v="1552"/>
  </r>
  <r>
    <d v="2020-04-29T00:00:00"/>
    <x v="10"/>
    <n v="13014"/>
    <x v="43"/>
    <n v="867.6"/>
    <x v="1"/>
    <n v="15"/>
    <n v="786"/>
    <n v="695"/>
  </r>
  <r>
    <d v="2020-05-10T00:00:00"/>
    <x v="4"/>
    <n v="36619.5"/>
    <x v="44"/>
    <n v="1743.7857142857142"/>
    <x v="4"/>
    <n v="21"/>
    <n v="2016"/>
    <n v="1846"/>
  </r>
  <r>
    <d v="2020-04-29T00:00:00"/>
    <x v="11"/>
    <n v="387220.5"/>
    <x v="45"/>
    <n v="3097.7640000000001"/>
    <x v="1"/>
    <n v="125"/>
    <n v="21863"/>
    <n v="20160"/>
  </r>
  <r>
    <d v="2020-05-08T00:00:00"/>
    <x v="4"/>
    <n v="29409"/>
    <x v="46"/>
    <n v="1400.4285714285713"/>
    <x v="4"/>
    <n v="21"/>
    <n v="1646"/>
    <n v="1492"/>
  </r>
  <r>
    <d v="2020-04-29T00:00:00"/>
    <x v="12"/>
    <n v="298059"/>
    <x v="47"/>
    <n v="2328.5859375"/>
    <x v="1"/>
    <n v="128"/>
    <n v="17368"/>
    <n v="16077"/>
  </r>
  <r>
    <d v="2020-05-07T00:00:00"/>
    <x v="4"/>
    <n v="27018"/>
    <x v="48"/>
    <n v="1286.5714285714287"/>
    <x v="4"/>
    <n v="21"/>
    <n v="1542"/>
    <n v="1405"/>
  </r>
  <r>
    <d v="2020-04-29T00:00:00"/>
    <x v="13"/>
    <n v="10840.5"/>
    <x v="49"/>
    <n v="1084.05"/>
    <x v="1"/>
    <n v="10"/>
    <n v="502"/>
    <n v="433"/>
  </r>
  <r>
    <d v="2020-05-24T00:00:00"/>
    <x v="4"/>
    <n v="34303.5"/>
    <x v="50"/>
    <n v="1715.175"/>
    <x v="3"/>
    <n v="20"/>
    <n v="1999"/>
    <n v="1829"/>
  </r>
  <r>
    <d v="2020-04-30T00:00:00"/>
    <x v="1"/>
    <n v="78235.5"/>
    <x v="51"/>
    <n v="2173.2083333333335"/>
    <x v="1"/>
    <n v="36"/>
    <n v="5143"/>
    <n v="4715"/>
  </r>
  <r>
    <d v="2020-05-31T00:00:00"/>
    <x v="4"/>
    <n v="36999"/>
    <x v="52"/>
    <n v="1761.8571428571429"/>
    <x v="0"/>
    <n v="21"/>
    <n v="2271"/>
    <n v="2085"/>
  </r>
  <r>
    <d v="2020-04-30T00:00:00"/>
    <x v="2"/>
    <n v="77565"/>
    <x v="53"/>
    <n v="2502.0967741935483"/>
    <x v="1"/>
    <n v="31"/>
    <n v="5120"/>
    <n v="4737"/>
  </r>
  <r>
    <d v="2020-05-30T00:00:00"/>
    <x v="4"/>
    <n v="44001"/>
    <x v="54"/>
    <n v="2200.0500000000002"/>
    <x v="0"/>
    <n v="20"/>
    <n v="2597"/>
    <n v="2376"/>
  </r>
  <r>
    <d v="2020-04-30T00:00:00"/>
    <x v="3"/>
    <n v="31231.5"/>
    <x v="55"/>
    <n v="1561.575"/>
    <x v="1"/>
    <n v="20"/>
    <n v="1756"/>
    <n v="1586"/>
  </r>
  <r>
    <d v="2020-05-28T00:00:00"/>
    <x v="4"/>
    <n v="30982.5"/>
    <x v="56"/>
    <n v="1549.125"/>
    <x v="0"/>
    <n v="20"/>
    <n v="1886"/>
    <n v="1736"/>
  </r>
  <r>
    <d v="2020-05-16T00:00:00"/>
    <x v="2"/>
    <n v="88063.5"/>
    <x v="57"/>
    <n v="2840.7580645161293"/>
    <x v="2"/>
    <n v="31"/>
    <n v="5593"/>
    <n v="5177"/>
  </r>
  <r>
    <d v="2020-04-30T00:00:00"/>
    <x v="5"/>
    <n v="27883.5"/>
    <x v="58"/>
    <n v="1467.5526315789473"/>
    <x v="1"/>
    <n v="19"/>
    <n v="1662"/>
    <n v="1506"/>
  </r>
  <r>
    <d v="2020-05-19T00:00:00"/>
    <x v="2"/>
    <n v="84024"/>
    <x v="59"/>
    <n v="2710.4516129032259"/>
    <x v="3"/>
    <n v="31"/>
    <n v="5389"/>
    <n v="5024"/>
  </r>
  <r>
    <d v="2020-04-30T00:00:00"/>
    <x v="6"/>
    <n v="206038.5"/>
    <x v="60"/>
    <n v="3815.5277777777778"/>
    <x v="1"/>
    <n v="54"/>
    <n v="12817"/>
    <n v="11865"/>
  </r>
  <r>
    <d v="2020-05-17T00:00:00"/>
    <x v="2"/>
    <n v="78057"/>
    <x v="61"/>
    <n v="2517.9677419354839"/>
    <x v="2"/>
    <n v="31"/>
    <n v="5206"/>
    <n v="4843"/>
  </r>
  <r>
    <d v="2020-04-30T00:00:00"/>
    <x v="7"/>
    <n v="214386"/>
    <x v="62"/>
    <n v="3633.6610169491523"/>
    <x v="1"/>
    <n v="59"/>
    <n v="13251"/>
    <n v="12255"/>
  </r>
  <r>
    <d v="2020-05-09T00:00:00"/>
    <x v="2"/>
    <n v="69720"/>
    <x v="63"/>
    <n v="2249.0322580645161"/>
    <x v="4"/>
    <n v="31"/>
    <n v="4556"/>
    <n v="4220"/>
  </r>
  <r>
    <d v="2020-04-30T00:00:00"/>
    <x v="8"/>
    <n v="24211.5"/>
    <x v="64"/>
    <n v="1274.2894736842106"/>
    <x v="1"/>
    <n v="19"/>
    <n v="1499"/>
    <n v="1322"/>
  </r>
  <r>
    <d v="2020-05-04T00:00:00"/>
    <x v="2"/>
    <n v="72928.5"/>
    <x v="65"/>
    <n v="2352.5322580645161"/>
    <x v="4"/>
    <n v="31"/>
    <n v="4968"/>
    <n v="4596"/>
  </r>
  <r>
    <d v="2020-04-30T00:00:00"/>
    <x v="9"/>
    <n v="11976"/>
    <x v="66"/>
    <n v="798.4"/>
    <x v="1"/>
    <n v="15"/>
    <n v="644"/>
    <n v="550"/>
  </r>
  <r>
    <d v="2020-04-30T00:00:00"/>
    <x v="10"/>
    <n v="12753"/>
    <x v="67"/>
    <n v="850.2"/>
    <x v="1"/>
    <n v="15"/>
    <n v="791"/>
    <n v="691"/>
  </r>
  <r>
    <d v="2020-05-02T00:00:00"/>
    <x v="2"/>
    <n v="60463.5"/>
    <x v="68"/>
    <n v="1950.4354838709678"/>
    <x v="1"/>
    <n v="31"/>
    <n v="4157"/>
    <n v="3823"/>
  </r>
  <r>
    <d v="2020-04-30T00:00:00"/>
    <x v="14"/>
    <n v="4285.5"/>
    <x v="69"/>
    <n v="285.7"/>
    <x v="1"/>
    <n v="15"/>
    <n v="262"/>
    <n v="195"/>
  </r>
  <r>
    <d v="2020-05-26T00:00:00"/>
    <x v="2"/>
    <n v="79975.5"/>
    <x v="70"/>
    <n v="2579.8548387096776"/>
    <x v="0"/>
    <n v="31"/>
    <n v="5493"/>
    <n v="5119"/>
  </r>
  <r>
    <d v="2020-04-30T00:00:00"/>
    <x v="11"/>
    <n v="401580"/>
    <x v="71"/>
    <n v="3212.64"/>
    <x v="1"/>
    <n v="125"/>
    <n v="22368"/>
    <n v="20625"/>
  </r>
  <r>
    <d v="2020-05-01T00:00:00"/>
    <x v="2"/>
    <n v="97534.5"/>
    <x v="72"/>
    <n v="3146.2741935483873"/>
    <x v="1"/>
    <n v="31"/>
    <n v="6118"/>
    <n v="5564"/>
  </r>
  <r>
    <d v="2020-04-30T00:00:00"/>
    <x v="12"/>
    <n v="311131.5"/>
    <x v="73"/>
    <n v="2411.8720930232557"/>
    <x v="1"/>
    <n v="129"/>
    <n v="18042"/>
    <n v="16631"/>
  </r>
  <r>
    <d v="2020-05-12T00:00:00"/>
    <x v="2"/>
    <n v="71520"/>
    <x v="74"/>
    <n v="2307.0967741935483"/>
    <x v="2"/>
    <n v="31"/>
    <n v="4800"/>
    <n v="4470"/>
  </r>
  <r>
    <d v="2020-04-30T00:00:00"/>
    <x v="13"/>
    <n v="8934"/>
    <x v="75"/>
    <n v="893.4"/>
    <x v="1"/>
    <n v="10"/>
    <n v="448"/>
    <n v="376"/>
  </r>
  <r>
    <d v="2020-05-21T00:00:00"/>
    <x v="2"/>
    <n v="79485"/>
    <x v="76"/>
    <n v="2564.0322580645161"/>
    <x v="3"/>
    <n v="31"/>
    <n v="5207"/>
    <n v="4868"/>
  </r>
  <r>
    <d v="2020-05-01T00:00:00"/>
    <x v="1"/>
    <n v="82228.5"/>
    <x v="77"/>
    <n v="2284.125"/>
    <x v="1"/>
    <n v="36"/>
    <n v="5457"/>
    <n v="4916"/>
  </r>
  <r>
    <d v="2020-05-20T00:00:00"/>
    <x v="2"/>
    <n v="93313.5"/>
    <x v="78"/>
    <n v="3010.1129032258063"/>
    <x v="3"/>
    <n v="31"/>
    <n v="5698"/>
    <n v="5258"/>
  </r>
  <r>
    <d v="2020-05-05T00:00:00"/>
    <x v="2"/>
    <n v="76585.5"/>
    <x v="79"/>
    <n v="2470.5"/>
    <x v="4"/>
    <n v="31"/>
    <n v="5188"/>
    <n v="4800"/>
  </r>
  <r>
    <d v="2020-05-01T00:00:00"/>
    <x v="3"/>
    <n v="46620"/>
    <x v="80"/>
    <n v="2331"/>
    <x v="1"/>
    <n v="20"/>
    <n v="2468"/>
    <n v="2221"/>
  </r>
  <r>
    <d v="2020-05-13T00:00:00"/>
    <x v="2"/>
    <n v="78846"/>
    <x v="81"/>
    <n v="2543.4193548387098"/>
    <x v="2"/>
    <n v="31"/>
    <n v="5251"/>
    <n v="4853"/>
  </r>
  <r>
    <d v="2020-05-01T00:00:00"/>
    <x v="5"/>
    <n v="35190"/>
    <x v="82"/>
    <n v="1852.1052631578948"/>
    <x v="1"/>
    <n v="19"/>
    <n v="1987"/>
    <n v="1791"/>
  </r>
  <r>
    <d v="2020-05-03T00:00:00"/>
    <x v="2"/>
    <n v="77263.5"/>
    <x v="83"/>
    <n v="2492.3709677419356"/>
    <x v="1"/>
    <n v="31"/>
    <n v="5155"/>
    <n v="4762"/>
  </r>
  <r>
    <d v="2020-05-01T00:00:00"/>
    <x v="6"/>
    <n v="226540.5"/>
    <x v="84"/>
    <n v="4195.1944444444443"/>
    <x v="1"/>
    <n v="54"/>
    <n v="14205"/>
    <n v="13026"/>
  </r>
  <r>
    <d v="2020-05-06T00:00:00"/>
    <x v="2"/>
    <n v="68994"/>
    <x v="85"/>
    <n v="2225.6129032258063"/>
    <x v="4"/>
    <n v="31"/>
    <n v="4709"/>
    <n v="4348"/>
  </r>
  <r>
    <d v="2020-05-01T00:00:00"/>
    <x v="7"/>
    <n v="239409"/>
    <x v="86"/>
    <n v="4057.7796610169494"/>
    <x v="1"/>
    <n v="59"/>
    <n v="15222"/>
    <n v="13873"/>
  </r>
  <r>
    <d v="2020-05-23T00:00:00"/>
    <x v="2"/>
    <n v="102889.5"/>
    <x v="87"/>
    <n v="3319.016129032258"/>
    <x v="3"/>
    <n v="31"/>
    <n v="6276"/>
    <n v="5801"/>
  </r>
  <r>
    <d v="2020-05-01T00:00:00"/>
    <x v="8"/>
    <n v="25792.5"/>
    <x v="88"/>
    <n v="1357.5"/>
    <x v="1"/>
    <n v="19"/>
    <n v="1497"/>
    <n v="1291"/>
  </r>
  <r>
    <d v="2020-05-25T00:00:00"/>
    <x v="2"/>
    <n v="76999.5"/>
    <x v="89"/>
    <n v="2483.8548387096776"/>
    <x v="0"/>
    <n v="31"/>
    <n v="5210"/>
    <n v="4841"/>
  </r>
  <r>
    <d v="2020-05-01T00:00:00"/>
    <x v="9"/>
    <n v="13644"/>
    <x v="90"/>
    <n v="909.6"/>
    <x v="1"/>
    <n v="15"/>
    <n v="721"/>
    <n v="625"/>
  </r>
  <r>
    <d v="2020-05-01T00:00:00"/>
    <x v="10"/>
    <n v="17113.5"/>
    <x v="91"/>
    <n v="1140.9000000000001"/>
    <x v="1"/>
    <n v="15"/>
    <n v="996"/>
    <n v="888"/>
  </r>
  <r>
    <d v="2020-05-10T00:00:00"/>
    <x v="2"/>
    <n v="84132"/>
    <x v="92"/>
    <n v="2713.9354838709678"/>
    <x v="4"/>
    <n v="31"/>
    <n v="5495"/>
    <n v="5093"/>
  </r>
  <r>
    <d v="2020-05-01T00:00:00"/>
    <x v="14"/>
    <n v="5446.5"/>
    <x v="93"/>
    <n v="363.1"/>
    <x v="1"/>
    <n v="15"/>
    <n v="294"/>
    <n v="225"/>
  </r>
  <r>
    <d v="2020-05-08T00:00:00"/>
    <x v="2"/>
    <n v="69544.5"/>
    <x v="94"/>
    <n v="2243.3709677419356"/>
    <x v="4"/>
    <n v="31"/>
    <n v="4635"/>
    <n v="4266"/>
  </r>
  <r>
    <d v="2020-05-01T00:00:00"/>
    <x v="11"/>
    <n v="372504"/>
    <x v="95"/>
    <n v="2980.0320000000002"/>
    <x v="1"/>
    <n v="125"/>
    <n v="20602"/>
    <n v="18845"/>
  </r>
  <r>
    <d v="2020-05-07T00:00:00"/>
    <x v="2"/>
    <n v="73204.5"/>
    <x v="96"/>
    <n v="2361.4354838709678"/>
    <x v="4"/>
    <n v="31"/>
    <n v="4903"/>
    <n v="4527"/>
  </r>
  <r>
    <d v="2020-05-01T00:00:00"/>
    <x v="12"/>
    <n v="296149.5"/>
    <x v="97"/>
    <n v="2295.7325581395348"/>
    <x v="1"/>
    <n v="129"/>
    <n v="17002"/>
    <n v="15570"/>
  </r>
  <r>
    <d v="2020-05-24T00:00:00"/>
    <x v="2"/>
    <n v="76663.5"/>
    <x v="98"/>
    <n v="2473.016129032258"/>
    <x v="3"/>
    <n v="31"/>
    <n v="5035"/>
    <n v="4683"/>
  </r>
  <r>
    <d v="2020-05-01T00:00:00"/>
    <x v="13"/>
    <n v="11619"/>
    <x v="99"/>
    <n v="1161.9000000000001"/>
    <x v="1"/>
    <n v="10"/>
    <n v="554"/>
    <n v="472"/>
  </r>
  <r>
    <d v="2020-05-16T00:00:00"/>
    <x v="13"/>
    <n v="14265"/>
    <x v="100"/>
    <n v="1426.5"/>
    <x v="2"/>
    <n v="10"/>
    <n v="760"/>
    <n v="672"/>
  </r>
  <r>
    <d v="2020-05-02T00:00:00"/>
    <x v="1"/>
    <n v="46216.5"/>
    <x v="101"/>
    <n v="1283.7916666666667"/>
    <x v="1"/>
    <n v="36"/>
    <n v="3442"/>
    <n v="3147"/>
  </r>
  <r>
    <d v="2020-05-19T00:00:00"/>
    <x v="13"/>
    <n v="11526"/>
    <x v="102"/>
    <n v="1152.5999999999999"/>
    <x v="3"/>
    <n v="10"/>
    <n v="649"/>
    <n v="568"/>
  </r>
  <r>
    <d v="2020-05-17T00:00:00"/>
    <x v="13"/>
    <n v="10402.5"/>
    <x v="103"/>
    <n v="1040.25"/>
    <x v="2"/>
    <n v="10"/>
    <n v="591"/>
    <n v="513"/>
  </r>
  <r>
    <d v="2020-05-02T00:00:00"/>
    <x v="3"/>
    <n v="26428.5"/>
    <x v="104"/>
    <n v="1321.425"/>
    <x v="1"/>
    <n v="20"/>
    <n v="1613"/>
    <n v="1457"/>
  </r>
  <r>
    <d v="2020-05-09T00:00:00"/>
    <x v="13"/>
    <n v="13216.5"/>
    <x v="105"/>
    <n v="1321.65"/>
    <x v="4"/>
    <n v="10"/>
    <n v="644"/>
    <n v="559"/>
  </r>
  <r>
    <d v="2020-05-04T00:00:00"/>
    <x v="13"/>
    <n v="9130.5"/>
    <x v="106"/>
    <n v="913.05"/>
    <x v="4"/>
    <n v="10"/>
    <n v="462"/>
    <n v="396"/>
  </r>
  <r>
    <d v="2020-05-02T00:00:00"/>
    <x v="5"/>
    <n v="18427.5"/>
    <x v="107"/>
    <n v="969.86842105263156"/>
    <x v="1"/>
    <n v="19"/>
    <n v="1206"/>
    <n v="1080"/>
  </r>
  <r>
    <d v="2020-05-02T00:00:00"/>
    <x v="6"/>
    <n v="176397"/>
    <x v="108"/>
    <n v="3266.6111111111113"/>
    <x v="1"/>
    <n v="54"/>
    <n v="11622"/>
    <n v="10754"/>
  </r>
  <r>
    <d v="2020-05-02T00:00:00"/>
    <x v="13"/>
    <n v="7866"/>
    <x v="109"/>
    <n v="786.6"/>
    <x v="1"/>
    <n v="10"/>
    <n v="416"/>
    <n v="341"/>
  </r>
  <r>
    <d v="2020-05-02T00:00:00"/>
    <x v="7"/>
    <n v="185979"/>
    <x v="110"/>
    <n v="3152.1864406779659"/>
    <x v="1"/>
    <n v="59"/>
    <n v="12429"/>
    <n v="11477"/>
  </r>
  <r>
    <d v="2020-05-26T00:00:00"/>
    <x v="13"/>
    <n v="11835"/>
    <x v="111"/>
    <n v="1183.5"/>
    <x v="0"/>
    <n v="10"/>
    <n v="692"/>
    <n v="601"/>
  </r>
  <r>
    <d v="2020-05-02T00:00:00"/>
    <x v="8"/>
    <n v="19461"/>
    <x v="112"/>
    <n v="1024.2631578947369"/>
    <x v="1"/>
    <n v="19"/>
    <n v="1217"/>
    <n v="1048"/>
  </r>
  <r>
    <d v="2020-05-02T00:00:00"/>
    <x v="9"/>
    <n v="10018.5"/>
    <x v="113"/>
    <n v="667.9"/>
    <x v="1"/>
    <n v="15"/>
    <n v="567"/>
    <n v="493"/>
  </r>
  <r>
    <d v="2020-05-12T00:00:00"/>
    <x v="13"/>
    <n v="9328.5"/>
    <x v="114"/>
    <n v="932.85"/>
    <x v="2"/>
    <n v="10"/>
    <n v="526"/>
    <n v="448"/>
  </r>
  <r>
    <d v="2020-05-02T00:00:00"/>
    <x v="10"/>
    <n v="12313.5"/>
    <x v="115"/>
    <n v="820.9"/>
    <x v="1"/>
    <n v="15"/>
    <n v="751"/>
    <n v="651"/>
  </r>
  <r>
    <d v="2020-05-21T00:00:00"/>
    <x v="13"/>
    <n v="11250"/>
    <x v="116"/>
    <n v="1125"/>
    <x v="3"/>
    <n v="10"/>
    <n v="677"/>
    <n v="591"/>
  </r>
  <r>
    <d v="2020-05-02T00:00:00"/>
    <x v="14"/>
    <n v="4624.5"/>
    <x v="117"/>
    <n v="308.3"/>
    <x v="1"/>
    <n v="15"/>
    <n v="274"/>
    <n v="203"/>
  </r>
  <r>
    <d v="2020-05-20T00:00:00"/>
    <x v="13"/>
    <n v="13063.5"/>
    <x v="118"/>
    <n v="1306.3499999999999"/>
    <x v="3"/>
    <n v="10"/>
    <n v="745"/>
    <n v="654"/>
  </r>
  <r>
    <d v="2020-05-02T00:00:00"/>
    <x v="11"/>
    <n v="296580"/>
    <x v="119"/>
    <n v="2372.64"/>
    <x v="1"/>
    <n v="125"/>
    <n v="16932"/>
    <n v="15601"/>
  </r>
  <r>
    <d v="2020-05-05T00:00:00"/>
    <x v="13"/>
    <n v="10147.5"/>
    <x v="120"/>
    <n v="1014.75"/>
    <x v="4"/>
    <n v="10"/>
    <n v="511"/>
    <n v="437"/>
  </r>
  <r>
    <d v="2020-05-02T00:00:00"/>
    <x v="12"/>
    <n v="232903.5"/>
    <x v="121"/>
    <n v="1805.453488372093"/>
    <x v="1"/>
    <n v="129"/>
    <n v="14009"/>
    <n v="12920"/>
  </r>
  <r>
    <d v="2020-05-13T00:00:00"/>
    <x v="13"/>
    <n v="11202"/>
    <x v="122"/>
    <n v="1120.2"/>
    <x v="2"/>
    <n v="10"/>
    <n v="612"/>
    <n v="530"/>
  </r>
  <r>
    <d v="2020-05-03T00:00:00"/>
    <x v="1"/>
    <n v="70581"/>
    <x v="123"/>
    <n v="1960.5833333333333"/>
    <x v="1"/>
    <n v="36"/>
    <n v="4751"/>
    <n v="4370"/>
  </r>
  <r>
    <d v="2020-05-31T00:00:00"/>
    <x v="2"/>
    <n v="89149.5"/>
    <x v="124"/>
    <n v="2875.7903225806454"/>
    <x v="0"/>
    <n v="31"/>
    <n v="5760"/>
    <n v="5367"/>
  </r>
  <r>
    <d v="2020-05-03T00:00:00"/>
    <x v="13"/>
    <n v="8185.5"/>
    <x v="125"/>
    <n v="818.55"/>
    <x v="1"/>
    <n v="10"/>
    <n v="402"/>
    <n v="333"/>
  </r>
  <r>
    <d v="2020-05-03T00:00:00"/>
    <x v="3"/>
    <n v="29935.5"/>
    <x v="126"/>
    <n v="1496.7750000000001"/>
    <x v="1"/>
    <n v="20"/>
    <n v="1716"/>
    <n v="1561"/>
  </r>
  <r>
    <d v="2020-05-30T00:00:00"/>
    <x v="2"/>
    <n v="108123"/>
    <x v="127"/>
    <n v="3487.8387096774195"/>
    <x v="0"/>
    <n v="31"/>
    <n v="6735"/>
    <n v="6264"/>
  </r>
  <r>
    <d v="2020-05-06T00:00:00"/>
    <x v="13"/>
    <n v="9210"/>
    <x v="128"/>
    <n v="921"/>
    <x v="4"/>
    <n v="10"/>
    <n v="465"/>
    <n v="390"/>
  </r>
  <r>
    <d v="2020-05-03T00:00:00"/>
    <x v="5"/>
    <n v="21343.5"/>
    <x v="129"/>
    <n v="1123.3421052631579"/>
    <x v="1"/>
    <n v="19"/>
    <n v="1314"/>
    <n v="1192"/>
  </r>
  <r>
    <d v="2020-05-23T00:00:00"/>
    <x v="13"/>
    <n v="14773.5"/>
    <x v="130"/>
    <n v="1477.35"/>
    <x v="3"/>
    <n v="10"/>
    <n v="828"/>
    <n v="734"/>
  </r>
  <r>
    <d v="2020-05-03T00:00:00"/>
    <x v="6"/>
    <n v="248148"/>
    <x v="131"/>
    <n v="4595.333333333333"/>
    <x v="1"/>
    <n v="54"/>
    <n v="14823"/>
    <n v="13751"/>
  </r>
  <r>
    <d v="2020-05-28T00:00:00"/>
    <x v="2"/>
    <n v="78141"/>
    <x v="132"/>
    <n v="2520.6774193548385"/>
    <x v="0"/>
    <n v="31"/>
    <n v="5355"/>
    <n v="4969"/>
  </r>
  <r>
    <d v="2020-05-03T00:00:00"/>
    <x v="7"/>
    <n v="257215.5"/>
    <x v="133"/>
    <n v="4359.5847457627115"/>
    <x v="1"/>
    <n v="59"/>
    <n v="15277"/>
    <n v="14163"/>
  </r>
  <r>
    <d v="2020-05-25T00:00:00"/>
    <x v="13"/>
    <n v="12280.5"/>
    <x v="134"/>
    <n v="1228.05"/>
    <x v="0"/>
    <n v="10"/>
    <n v="739"/>
    <n v="642"/>
  </r>
  <r>
    <d v="2020-05-03T00:00:00"/>
    <x v="8"/>
    <n v="23539.5"/>
    <x v="135"/>
    <n v="1238.921052631579"/>
    <x v="1"/>
    <n v="19"/>
    <n v="1402"/>
    <n v="1234"/>
  </r>
  <r>
    <d v="2020-05-03T00:00:00"/>
    <x v="9"/>
    <n v="10032"/>
    <x v="136"/>
    <n v="668.8"/>
    <x v="1"/>
    <n v="15"/>
    <n v="585"/>
    <n v="502"/>
  </r>
  <r>
    <d v="2020-05-10T00:00:00"/>
    <x v="13"/>
    <n v="12918"/>
    <x v="137"/>
    <n v="1291.8"/>
    <x v="4"/>
    <n v="10"/>
    <n v="642"/>
    <n v="556"/>
  </r>
  <r>
    <d v="2020-05-03T00:00:00"/>
    <x v="10"/>
    <n v="12924"/>
    <x v="138"/>
    <n v="861.6"/>
    <x v="1"/>
    <n v="15"/>
    <n v="784"/>
    <n v="696"/>
  </r>
  <r>
    <d v="2020-05-08T00:00:00"/>
    <x v="13"/>
    <n v="12528"/>
    <x v="139"/>
    <n v="1252.8"/>
    <x v="4"/>
    <n v="10"/>
    <n v="638"/>
    <n v="547"/>
  </r>
  <r>
    <d v="2020-05-03T00:00:00"/>
    <x v="14"/>
    <n v="8127"/>
    <x v="140"/>
    <n v="541.79999999999995"/>
    <x v="1"/>
    <n v="15"/>
    <n v="455"/>
    <n v="384"/>
  </r>
  <r>
    <d v="2020-05-07T00:00:00"/>
    <x v="13"/>
    <n v="11029.5"/>
    <x v="141"/>
    <n v="1102.95"/>
    <x v="4"/>
    <n v="10"/>
    <n v="563"/>
    <n v="486"/>
  </r>
  <r>
    <d v="2020-05-03T00:00:00"/>
    <x v="11"/>
    <n v="342666"/>
    <x v="142"/>
    <n v="2741.328"/>
    <x v="1"/>
    <n v="125"/>
    <n v="18861"/>
    <n v="17420"/>
  </r>
  <r>
    <d v="2020-05-24T00:00:00"/>
    <x v="13"/>
    <n v="9994.5"/>
    <x v="143"/>
    <n v="999.45"/>
    <x v="3"/>
    <n v="10"/>
    <n v="639"/>
    <n v="557"/>
  </r>
  <r>
    <d v="2020-05-03T00:00:00"/>
    <x v="12"/>
    <n v="274083"/>
    <x v="144"/>
    <n v="2124.6744186046512"/>
    <x v="1"/>
    <n v="129"/>
    <n v="15778"/>
    <n v="14624"/>
  </r>
  <r>
    <d v="2020-05-31T00:00:00"/>
    <x v="13"/>
    <n v="12724.5"/>
    <x v="145"/>
    <n v="1272.45"/>
    <x v="0"/>
    <n v="10"/>
    <n v="749"/>
    <n v="655"/>
  </r>
  <r>
    <d v="2020-05-30T00:00:00"/>
    <x v="13"/>
    <n v="14728.5"/>
    <x v="146"/>
    <n v="1472.85"/>
    <x v="0"/>
    <n v="10"/>
    <n v="865"/>
    <n v="763"/>
  </r>
  <r>
    <d v="2020-05-04T00:00:00"/>
    <x v="1"/>
    <n v="64108.5"/>
    <x v="147"/>
    <n v="1780.7916666666667"/>
    <x v="4"/>
    <n v="36"/>
    <n v="4508"/>
    <n v="4149"/>
  </r>
  <r>
    <d v="2020-05-28T00:00:00"/>
    <x v="13"/>
    <n v="13038"/>
    <x v="148"/>
    <n v="1303.8"/>
    <x v="0"/>
    <n v="10"/>
    <n v="791"/>
    <n v="697"/>
  </r>
  <r>
    <d v="2020-05-16T00:00:00"/>
    <x v="8"/>
    <n v="35482.5"/>
    <x v="149"/>
    <n v="1867.5"/>
    <x v="2"/>
    <n v="19"/>
    <n v="2080"/>
    <n v="1844"/>
  </r>
  <r>
    <d v="2020-05-04T00:00:00"/>
    <x v="3"/>
    <n v="30780"/>
    <x v="150"/>
    <n v="1539"/>
    <x v="4"/>
    <n v="20"/>
    <n v="1804"/>
    <n v="1638"/>
  </r>
  <r>
    <d v="2020-05-19T00:00:00"/>
    <x v="8"/>
    <n v="32434.5"/>
    <x v="151"/>
    <n v="1707.078947368421"/>
    <x v="3"/>
    <n v="19"/>
    <n v="1999"/>
    <n v="1799"/>
  </r>
  <r>
    <d v="2020-05-17T00:00:00"/>
    <x v="8"/>
    <n v="30486"/>
    <x v="152"/>
    <n v="1604.5263157894738"/>
    <x v="2"/>
    <n v="19"/>
    <n v="1871"/>
    <n v="1660"/>
  </r>
  <r>
    <d v="2020-05-04T00:00:00"/>
    <x v="5"/>
    <n v="23587.5"/>
    <x v="153"/>
    <n v="1241.4473684210527"/>
    <x v="4"/>
    <n v="19"/>
    <n v="1479"/>
    <n v="1346"/>
  </r>
  <r>
    <d v="2020-05-09T00:00:00"/>
    <x v="8"/>
    <n v="32079"/>
    <x v="154"/>
    <n v="1688.3684210526317"/>
    <x v="4"/>
    <n v="19"/>
    <n v="1851"/>
    <n v="1635"/>
  </r>
  <r>
    <d v="2020-05-04T00:00:00"/>
    <x v="6"/>
    <n v="223617"/>
    <x v="155"/>
    <n v="4141.0555555555557"/>
    <x v="4"/>
    <n v="54"/>
    <n v="13606"/>
    <n v="12697"/>
  </r>
  <r>
    <d v="2020-05-04T00:00:00"/>
    <x v="8"/>
    <n v="27072"/>
    <x v="156"/>
    <n v="1424.8421052631579"/>
    <x v="4"/>
    <n v="19"/>
    <n v="1582"/>
    <n v="1403"/>
  </r>
  <r>
    <d v="2020-05-04T00:00:00"/>
    <x v="7"/>
    <n v="237544.5"/>
    <x v="157"/>
    <n v="4026.1779661016949"/>
    <x v="4"/>
    <n v="59"/>
    <n v="14423"/>
    <n v="13432"/>
  </r>
  <r>
    <d v="2020-05-04T00:00:00"/>
    <x v="9"/>
    <n v="11062.5"/>
    <x v="158"/>
    <n v="737.5"/>
    <x v="4"/>
    <n v="15"/>
    <n v="622"/>
    <n v="538"/>
  </r>
  <r>
    <d v="2020-05-26T00:00:00"/>
    <x v="8"/>
    <n v="31407"/>
    <x v="159"/>
    <n v="1570.35"/>
    <x v="0"/>
    <n v="20"/>
    <n v="2036"/>
    <n v="1790"/>
  </r>
  <r>
    <d v="2020-05-04T00:00:00"/>
    <x v="10"/>
    <n v="12301.5"/>
    <x v="160"/>
    <n v="820.1"/>
    <x v="4"/>
    <n v="15"/>
    <n v="750"/>
    <n v="647"/>
  </r>
  <r>
    <d v="2020-05-04T00:00:00"/>
    <x v="14"/>
    <n v="7087.5"/>
    <x v="161"/>
    <n v="472.5"/>
    <x v="4"/>
    <n v="15"/>
    <n v="390"/>
    <n v="315"/>
  </r>
  <r>
    <d v="2020-05-12T00:00:00"/>
    <x v="8"/>
    <n v="26032.5"/>
    <x v="162"/>
    <n v="1370.1315789473683"/>
    <x v="2"/>
    <n v="19"/>
    <n v="1649"/>
    <n v="1460"/>
  </r>
  <r>
    <d v="2020-05-04T00:00:00"/>
    <x v="11"/>
    <n v="360255"/>
    <x v="163"/>
    <n v="2882.04"/>
    <x v="4"/>
    <n v="125"/>
    <n v="20495"/>
    <n v="18964"/>
  </r>
  <r>
    <d v="2020-05-21T00:00:00"/>
    <x v="8"/>
    <n v="31707"/>
    <x v="164"/>
    <n v="1668.7894736842106"/>
    <x v="3"/>
    <n v="19"/>
    <n v="1949"/>
    <n v="1724"/>
  </r>
  <r>
    <d v="2020-05-04T00:00:00"/>
    <x v="12"/>
    <n v="283942.5"/>
    <x v="165"/>
    <n v="2201.1046511627906"/>
    <x v="4"/>
    <n v="129"/>
    <n v="16525"/>
    <n v="15310"/>
  </r>
  <r>
    <d v="2020-05-20T00:00:00"/>
    <x v="8"/>
    <n v="29955"/>
    <x v="166"/>
    <n v="1576.578947368421"/>
    <x v="3"/>
    <n v="19"/>
    <n v="1889"/>
    <n v="1690"/>
  </r>
  <r>
    <d v="2020-05-05T00:00:00"/>
    <x v="8"/>
    <n v="22848"/>
    <x v="167"/>
    <n v="1202.5263157894738"/>
    <x v="4"/>
    <n v="19"/>
    <n v="1417"/>
    <n v="1245"/>
  </r>
  <r>
    <d v="2020-05-05T00:00:00"/>
    <x v="1"/>
    <n v="66396"/>
    <x v="168"/>
    <n v="1844.3333333333333"/>
    <x v="4"/>
    <n v="36"/>
    <n v="4575"/>
    <n v="4206"/>
  </r>
  <r>
    <d v="2020-05-13T00:00:00"/>
    <x v="8"/>
    <n v="26464.5"/>
    <x v="169"/>
    <n v="1392.8684210526317"/>
    <x v="2"/>
    <n v="19"/>
    <n v="1625"/>
    <n v="1444"/>
  </r>
  <r>
    <d v="2020-05-05T00:00:00"/>
    <x v="3"/>
    <n v="29482.5"/>
    <x v="170"/>
    <n v="1474.125"/>
    <x v="4"/>
    <n v="20"/>
    <n v="1757"/>
    <n v="1596"/>
  </r>
  <r>
    <d v="2020-05-06T00:00:00"/>
    <x v="8"/>
    <n v="24678"/>
    <x v="171"/>
    <n v="1298.8421052631579"/>
    <x v="4"/>
    <n v="19"/>
    <n v="1499"/>
    <n v="1323"/>
  </r>
  <r>
    <d v="2020-05-05T00:00:00"/>
    <x v="5"/>
    <n v="26367"/>
    <x v="172"/>
    <n v="1387.7368421052631"/>
    <x v="4"/>
    <n v="19"/>
    <n v="1622"/>
    <n v="1482"/>
  </r>
  <r>
    <d v="2020-05-23T00:00:00"/>
    <x v="8"/>
    <n v="38176.5"/>
    <x v="173"/>
    <n v="1908.825"/>
    <x v="3"/>
    <n v="20"/>
    <n v="2266"/>
    <n v="1993"/>
  </r>
  <r>
    <d v="2020-05-05T00:00:00"/>
    <x v="6"/>
    <n v="203832"/>
    <x v="174"/>
    <n v="3774.6666666666665"/>
    <x v="4"/>
    <n v="54"/>
    <n v="12775"/>
    <n v="11887"/>
  </r>
  <r>
    <d v="2020-05-25T00:00:00"/>
    <x v="8"/>
    <n v="30603"/>
    <x v="175"/>
    <n v="1530.15"/>
    <x v="0"/>
    <n v="20"/>
    <n v="2011"/>
    <n v="1791"/>
  </r>
  <r>
    <d v="2020-05-05T00:00:00"/>
    <x v="7"/>
    <n v="213582"/>
    <x v="176"/>
    <n v="3620.0338983050847"/>
    <x v="4"/>
    <n v="59"/>
    <n v="13469"/>
    <n v="12486"/>
  </r>
  <r>
    <d v="2020-05-10T00:00:00"/>
    <x v="8"/>
    <n v="31399.5"/>
    <x v="177"/>
    <n v="1652.6052631578948"/>
    <x v="4"/>
    <n v="19"/>
    <n v="1848"/>
    <n v="1649"/>
  </r>
  <r>
    <d v="2020-05-05T00:00:00"/>
    <x v="9"/>
    <n v="13941"/>
    <x v="178"/>
    <n v="929.4"/>
    <x v="4"/>
    <n v="15"/>
    <n v="750"/>
    <n v="658"/>
  </r>
  <r>
    <d v="2020-05-08T00:00:00"/>
    <x v="8"/>
    <n v="25294.5"/>
    <x v="179"/>
    <n v="1331.2894736842106"/>
    <x v="4"/>
    <n v="19"/>
    <n v="1522"/>
    <n v="1340"/>
  </r>
  <r>
    <d v="2020-05-05T00:00:00"/>
    <x v="10"/>
    <n v="15987"/>
    <x v="180"/>
    <n v="1065.8"/>
    <x v="4"/>
    <n v="15"/>
    <n v="922"/>
    <n v="823"/>
  </r>
  <r>
    <d v="2020-05-07T00:00:00"/>
    <x v="8"/>
    <n v="25468.5"/>
    <x v="181"/>
    <n v="1340.4473684210527"/>
    <x v="4"/>
    <n v="19"/>
    <n v="1530"/>
    <n v="1338"/>
  </r>
  <r>
    <d v="2020-05-05T00:00:00"/>
    <x v="14"/>
    <n v="8223"/>
    <x v="182"/>
    <n v="548.20000000000005"/>
    <x v="4"/>
    <n v="15"/>
    <n v="455"/>
    <n v="381"/>
  </r>
  <r>
    <d v="2020-05-24T00:00:00"/>
    <x v="8"/>
    <n v="31854"/>
    <x v="183"/>
    <n v="1592.7"/>
    <x v="3"/>
    <n v="20"/>
    <n v="2015"/>
    <n v="1803"/>
  </r>
  <r>
    <d v="2020-05-05T00:00:00"/>
    <x v="11"/>
    <n v="333792"/>
    <x v="184"/>
    <n v="2670.3359999999998"/>
    <x v="4"/>
    <n v="125"/>
    <n v="18944"/>
    <n v="17541"/>
  </r>
  <r>
    <d v="2020-05-31T00:00:00"/>
    <x v="8"/>
    <n v="32359.5"/>
    <x v="185"/>
    <n v="1617.9749999999999"/>
    <x v="0"/>
    <n v="20"/>
    <n v="2060"/>
    <n v="1826"/>
  </r>
  <r>
    <d v="2020-05-05T00:00:00"/>
    <x v="12"/>
    <n v="262734"/>
    <x v="186"/>
    <n v="2036.6976744186047"/>
    <x v="4"/>
    <n v="129"/>
    <n v="15665"/>
    <n v="14501"/>
  </r>
  <r>
    <d v="2020-05-30T00:00:00"/>
    <x v="8"/>
    <n v="39867"/>
    <x v="187"/>
    <n v="1993.35"/>
    <x v="0"/>
    <n v="20"/>
    <n v="2451"/>
    <n v="2178"/>
  </r>
  <r>
    <d v="2020-05-28T00:00:00"/>
    <x v="8"/>
    <n v="31974"/>
    <x v="188"/>
    <n v="1598.7"/>
    <x v="0"/>
    <n v="20"/>
    <n v="2088"/>
    <n v="1848"/>
  </r>
  <r>
    <d v="2020-05-06T00:00:00"/>
    <x v="1"/>
    <n v="63012"/>
    <x v="189"/>
    <n v="1750.3333333333333"/>
    <x v="4"/>
    <n v="36"/>
    <n v="4384"/>
    <n v="4025"/>
  </r>
  <r>
    <d v="2020-05-16T00:00:00"/>
    <x v="12"/>
    <n v="321412.5"/>
    <x v="190"/>
    <n v="2491.5697674418607"/>
    <x v="2"/>
    <n v="129"/>
    <n v="17914"/>
    <n v="16631"/>
  </r>
  <r>
    <d v="2020-05-19T00:00:00"/>
    <x v="12"/>
    <n v="276568.5"/>
    <x v="191"/>
    <n v="2143.9418604651164"/>
    <x v="3"/>
    <n v="129"/>
    <n v="16191"/>
    <n v="15102"/>
  </r>
  <r>
    <d v="2020-05-06T00:00:00"/>
    <x v="3"/>
    <n v="30342"/>
    <x v="192"/>
    <n v="1517.1"/>
    <x v="4"/>
    <n v="20"/>
    <n v="1747"/>
    <n v="1570"/>
  </r>
  <r>
    <d v="2020-05-17T00:00:00"/>
    <x v="12"/>
    <n v="269029.5"/>
    <x v="193"/>
    <n v="2085.5"/>
    <x v="2"/>
    <n v="129"/>
    <n v="15744"/>
    <n v="14685"/>
  </r>
  <r>
    <d v="2020-05-09T00:00:00"/>
    <x v="12"/>
    <n v="285972"/>
    <x v="194"/>
    <n v="2216.8372093023254"/>
    <x v="4"/>
    <n v="129"/>
    <n v="16420"/>
    <n v="15169"/>
  </r>
  <r>
    <d v="2020-05-06T00:00:00"/>
    <x v="5"/>
    <n v="24337.5"/>
    <x v="195"/>
    <n v="1280.921052631579"/>
    <x v="4"/>
    <n v="19"/>
    <n v="1509"/>
    <n v="1374"/>
  </r>
  <r>
    <d v="2020-05-06T00:00:00"/>
    <x v="6"/>
    <n v="216498"/>
    <x v="196"/>
    <n v="4009.2222222222222"/>
    <x v="4"/>
    <n v="54"/>
    <n v="13406"/>
    <n v="12518"/>
  </r>
  <r>
    <d v="2020-05-06T00:00:00"/>
    <x v="7"/>
    <n v="224779.5"/>
    <x v="197"/>
    <n v="3809.8220338983051"/>
    <x v="4"/>
    <n v="59"/>
    <n v="14103"/>
    <n v="13118"/>
  </r>
  <r>
    <d v="2020-05-26T00:00:00"/>
    <x v="12"/>
    <n v="276966"/>
    <x v="198"/>
    <n v="2147.0232558139537"/>
    <x v="0"/>
    <n v="129"/>
    <n v="16459"/>
    <n v="15355"/>
  </r>
  <r>
    <d v="2020-05-06T00:00:00"/>
    <x v="9"/>
    <n v="12468"/>
    <x v="199"/>
    <n v="831.2"/>
    <x v="4"/>
    <n v="15"/>
    <n v="701"/>
    <n v="611"/>
  </r>
  <r>
    <d v="2020-05-06T00:00:00"/>
    <x v="10"/>
    <n v="14061"/>
    <x v="200"/>
    <n v="937.4"/>
    <x v="4"/>
    <n v="15"/>
    <n v="839"/>
    <n v="733"/>
  </r>
  <r>
    <d v="2020-05-12T00:00:00"/>
    <x v="12"/>
    <n v="281796"/>
    <x v="201"/>
    <n v="2184.4651162790697"/>
    <x v="2"/>
    <n v="129"/>
    <n v="16387"/>
    <n v="15322"/>
  </r>
  <r>
    <d v="2020-05-06T00:00:00"/>
    <x v="14"/>
    <n v="8464.5"/>
    <x v="202"/>
    <n v="564.29999999999995"/>
    <x v="4"/>
    <n v="15"/>
    <n v="467"/>
    <n v="389"/>
  </r>
  <r>
    <d v="2020-05-21T00:00:00"/>
    <x v="12"/>
    <n v="288936"/>
    <x v="203"/>
    <n v="2239.8139534883721"/>
    <x v="3"/>
    <n v="129"/>
    <n v="16373"/>
    <n v="15223"/>
  </r>
  <r>
    <d v="2020-05-06T00:00:00"/>
    <x v="11"/>
    <n v="355278"/>
    <x v="204"/>
    <n v="2842.2240000000002"/>
    <x v="4"/>
    <n v="125"/>
    <n v="20218"/>
    <n v="18647"/>
  </r>
  <r>
    <d v="2020-05-20T00:00:00"/>
    <x v="12"/>
    <n v="300151.5"/>
    <x v="205"/>
    <n v="2326.7558139534885"/>
    <x v="3"/>
    <n v="129"/>
    <n v="17095"/>
    <n v="15919"/>
  </r>
  <r>
    <d v="2020-05-06T00:00:00"/>
    <x v="12"/>
    <n v="277512"/>
    <x v="206"/>
    <n v="2151.2558139534885"/>
    <x v="4"/>
    <n v="129"/>
    <n v="16376"/>
    <n v="15197"/>
  </r>
  <r>
    <d v="2020-05-07T00:00:00"/>
    <x v="1"/>
    <n v="71067"/>
    <x v="207"/>
    <n v="1974.0833333333333"/>
    <x v="4"/>
    <n v="36"/>
    <n v="4826"/>
    <n v="4426"/>
  </r>
  <r>
    <d v="2020-05-13T00:00:00"/>
    <x v="12"/>
    <n v="258459"/>
    <x v="208"/>
    <n v="2003.5581395348838"/>
    <x v="2"/>
    <n v="129"/>
    <n v="15304"/>
    <n v="14315"/>
  </r>
  <r>
    <d v="2020-05-07T00:00:00"/>
    <x v="3"/>
    <n v="32851.5"/>
    <x v="209"/>
    <n v="1564.3571428571429"/>
    <x v="4"/>
    <n v="21"/>
    <n v="1879"/>
    <n v="1695"/>
  </r>
  <r>
    <d v="2020-05-23T00:00:00"/>
    <x v="12"/>
    <n v="356982"/>
    <x v="210"/>
    <n v="2767.3023255813955"/>
    <x v="3"/>
    <n v="129"/>
    <n v="19856"/>
    <n v="18325"/>
  </r>
  <r>
    <d v="2020-05-07T00:00:00"/>
    <x v="5"/>
    <n v="26184"/>
    <x v="211"/>
    <n v="1378.1052631578948"/>
    <x v="4"/>
    <n v="19"/>
    <n v="1580"/>
    <n v="1435"/>
  </r>
  <r>
    <d v="2020-05-25T00:00:00"/>
    <x v="12"/>
    <n v="266983.5"/>
    <x v="212"/>
    <n v="2069.6395348837209"/>
    <x v="0"/>
    <n v="129"/>
    <n v="15822"/>
    <n v="14753"/>
  </r>
  <r>
    <d v="2020-05-07T00:00:00"/>
    <x v="6"/>
    <n v="209415"/>
    <x v="213"/>
    <n v="3878.0555555555557"/>
    <x v="4"/>
    <n v="54"/>
    <n v="12743"/>
    <n v="11858"/>
  </r>
  <r>
    <d v="2020-05-07T00:00:00"/>
    <x v="7"/>
    <n v="219411"/>
    <x v="214"/>
    <n v="3718.8305084745762"/>
    <x v="4"/>
    <n v="59"/>
    <n v="13495"/>
    <n v="12517"/>
  </r>
  <r>
    <d v="2020-05-10T00:00:00"/>
    <x v="12"/>
    <n v="287206.5"/>
    <x v="215"/>
    <n v="2226.4069767441861"/>
    <x v="4"/>
    <n v="129"/>
    <n v="16437"/>
    <n v="15285"/>
  </r>
  <r>
    <d v="2020-05-08T00:00:00"/>
    <x v="12"/>
    <n v="370092"/>
    <x v="216"/>
    <n v="2868.9302325581393"/>
    <x v="4"/>
    <n v="129"/>
    <n v="20452"/>
    <n v="18857"/>
  </r>
  <r>
    <d v="2020-05-07T00:00:00"/>
    <x v="9"/>
    <n v="11719.5"/>
    <x v="217"/>
    <n v="781.3"/>
    <x v="4"/>
    <n v="15"/>
    <n v="676"/>
    <n v="591"/>
  </r>
  <r>
    <d v="2020-05-07T00:00:00"/>
    <x v="12"/>
    <n v="247813.5"/>
    <x v="218"/>
    <n v="1921.0348837209303"/>
    <x v="4"/>
    <n v="129"/>
    <n v="14582"/>
    <n v="13512"/>
  </r>
  <r>
    <d v="2020-05-07T00:00:00"/>
    <x v="10"/>
    <n v="12705"/>
    <x v="219"/>
    <n v="847"/>
    <x v="4"/>
    <n v="15"/>
    <n v="805"/>
    <n v="703"/>
  </r>
  <r>
    <d v="2020-05-24T00:00:00"/>
    <x v="12"/>
    <n v="287740.5"/>
    <x v="220"/>
    <n v="2230.546511627907"/>
    <x v="3"/>
    <n v="129"/>
    <n v="16432"/>
    <n v="15345"/>
  </r>
  <r>
    <d v="2020-05-07T00:00:00"/>
    <x v="14"/>
    <n v="8719.5"/>
    <x v="221"/>
    <n v="581.29999999999995"/>
    <x v="4"/>
    <n v="15"/>
    <n v="480"/>
    <n v="398"/>
  </r>
  <r>
    <d v="2020-05-16T00:00:00"/>
    <x v="11"/>
    <n v="408810"/>
    <x v="222"/>
    <n v="3270.48"/>
    <x v="2"/>
    <n v="125"/>
    <n v="22291"/>
    <n v="20635"/>
  </r>
  <r>
    <d v="2020-05-07T00:00:00"/>
    <x v="11"/>
    <n v="319110"/>
    <x v="223"/>
    <n v="2552.88"/>
    <x v="4"/>
    <n v="125"/>
    <n v="18014"/>
    <n v="16675"/>
  </r>
  <r>
    <d v="2020-05-19T00:00:00"/>
    <x v="11"/>
    <n v="362536.5"/>
    <x v="224"/>
    <n v="2900.2919999999999"/>
    <x v="3"/>
    <n v="125"/>
    <n v="20771"/>
    <n v="19338"/>
  </r>
  <r>
    <d v="2020-05-17T00:00:00"/>
    <x v="11"/>
    <n v="357072"/>
    <x v="225"/>
    <n v="2856.576"/>
    <x v="2"/>
    <n v="125"/>
    <n v="20079"/>
    <n v="18721"/>
  </r>
  <r>
    <d v="2020-05-09T00:00:00"/>
    <x v="11"/>
    <n v="359214"/>
    <x v="226"/>
    <n v="2873.712"/>
    <x v="4"/>
    <n v="125"/>
    <n v="20132"/>
    <n v="18617"/>
  </r>
  <r>
    <d v="2020-05-08T00:00:00"/>
    <x v="1"/>
    <n v="61804.5"/>
    <x v="227"/>
    <n v="1716.7916666666667"/>
    <x v="4"/>
    <n v="36"/>
    <n v="4199"/>
    <n v="3867"/>
  </r>
  <r>
    <d v="2020-05-08T00:00:00"/>
    <x v="3"/>
    <n v="34399.5"/>
    <x v="228"/>
    <n v="1638.0714285714287"/>
    <x v="4"/>
    <n v="21"/>
    <n v="1957"/>
    <n v="1755"/>
  </r>
  <r>
    <d v="2020-05-26T00:00:00"/>
    <x v="11"/>
    <n v="369861"/>
    <x v="229"/>
    <n v="2982.75"/>
    <x v="0"/>
    <n v="124"/>
    <n v="21153"/>
    <n v="19673"/>
  </r>
  <r>
    <d v="2020-05-08T00:00:00"/>
    <x v="5"/>
    <n v="25020"/>
    <x v="230"/>
    <n v="1316.8421052631579"/>
    <x v="4"/>
    <n v="19"/>
    <n v="1520"/>
    <n v="1380"/>
  </r>
  <r>
    <d v="2020-05-08T00:00:00"/>
    <x v="6"/>
    <n v="225076.5"/>
    <x v="231"/>
    <n v="4168.083333333333"/>
    <x v="4"/>
    <n v="54"/>
    <n v="13563"/>
    <n v="12604"/>
  </r>
  <r>
    <d v="2020-05-12T00:00:00"/>
    <x v="11"/>
    <n v="373392"/>
    <x v="232"/>
    <n v="2987.136"/>
    <x v="2"/>
    <n v="125"/>
    <n v="21106"/>
    <n v="19651"/>
  </r>
  <r>
    <d v="2020-05-08T00:00:00"/>
    <x v="7"/>
    <n v="232701"/>
    <x v="233"/>
    <n v="3944.0847457627119"/>
    <x v="4"/>
    <n v="59"/>
    <n v="14098"/>
    <n v="13106"/>
  </r>
  <r>
    <d v="2020-05-21T00:00:00"/>
    <x v="11"/>
    <n v="378043.5"/>
    <x v="234"/>
    <n v="3024.348"/>
    <x v="3"/>
    <n v="125"/>
    <n v="20911"/>
    <n v="19358"/>
  </r>
  <r>
    <d v="2020-05-20T00:00:00"/>
    <x v="11"/>
    <n v="388668"/>
    <x v="235"/>
    <n v="3109.3440000000001"/>
    <x v="3"/>
    <n v="125"/>
    <n v="21674"/>
    <n v="20155"/>
  </r>
  <r>
    <d v="2020-05-08T00:00:00"/>
    <x v="9"/>
    <n v="12976.5"/>
    <x v="236"/>
    <n v="865.1"/>
    <x v="4"/>
    <n v="15"/>
    <n v="703"/>
    <n v="609"/>
  </r>
  <r>
    <d v="2020-05-08T00:00:00"/>
    <x v="10"/>
    <n v="14494.5"/>
    <x v="237"/>
    <n v="966.3"/>
    <x v="4"/>
    <n v="15"/>
    <n v="879"/>
    <n v="768"/>
  </r>
  <r>
    <d v="2020-05-08T00:00:00"/>
    <x v="14"/>
    <n v="9058.5"/>
    <x v="238"/>
    <n v="603.9"/>
    <x v="4"/>
    <n v="15"/>
    <n v="492"/>
    <n v="412"/>
  </r>
  <r>
    <d v="2020-05-13T00:00:00"/>
    <x v="11"/>
    <n v="350068.5"/>
    <x v="239"/>
    <n v="2800.5479999999998"/>
    <x v="2"/>
    <n v="125"/>
    <n v="19965"/>
    <n v="18573"/>
  </r>
  <r>
    <d v="2020-05-08T00:00:00"/>
    <x v="11"/>
    <n v="463530"/>
    <x v="240"/>
    <n v="3708.24"/>
    <x v="4"/>
    <n v="125"/>
    <n v="24620"/>
    <n v="22641"/>
  </r>
  <r>
    <d v="2020-05-31T00:00:00"/>
    <x v="12"/>
    <n v="294337.5"/>
    <x v="241"/>
    <n v="2281.6860465116279"/>
    <x v="0"/>
    <n v="129"/>
    <n v="17235"/>
    <n v="16052"/>
  </r>
  <r>
    <d v="2020-05-30T00:00:00"/>
    <x v="12"/>
    <n v="364882.5"/>
    <x v="242"/>
    <n v="2828.546511627907"/>
    <x v="0"/>
    <n v="129"/>
    <n v="20243"/>
    <n v="18711"/>
  </r>
  <r>
    <d v="2020-05-09T00:00:00"/>
    <x v="1"/>
    <n v="83373"/>
    <x v="243"/>
    <n v="2315.9166666666665"/>
    <x v="4"/>
    <n v="36"/>
    <n v="5413"/>
    <n v="4959"/>
  </r>
  <r>
    <d v="2020-05-23T00:00:00"/>
    <x v="11"/>
    <n v="456885"/>
    <x v="244"/>
    <n v="3655.08"/>
    <x v="3"/>
    <n v="125"/>
    <n v="24574"/>
    <n v="22609"/>
  </r>
  <r>
    <d v="2020-05-09T00:00:00"/>
    <x v="3"/>
    <n v="32239.5"/>
    <x v="245"/>
    <n v="1535.2142857142858"/>
    <x v="4"/>
    <n v="21"/>
    <n v="1891"/>
    <n v="1709"/>
  </r>
  <r>
    <d v="2020-05-28T00:00:00"/>
    <x v="12"/>
    <n v="278491.5"/>
    <x v="246"/>
    <n v="2158.8488372093025"/>
    <x v="0"/>
    <n v="129"/>
    <n v="16453"/>
    <n v="15289"/>
  </r>
  <r>
    <d v="2020-05-25T00:00:00"/>
    <x v="11"/>
    <n v="349734"/>
    <x v="247"/>
    <n v="2820.4354838709678"/>
    <x v="0"/>
    <n v="124"/>
    <n v="20358"/>
    <n v="18890"/>
  </r>
  <r>
    <d v="2020-05-09T00:00:00"/>
    <x v="5"/>
    <n v="26271"/>
    <x v="248"/>
    <n v="1382.6842105263158"/>
    <x v="4"/>
    <n v="19"/>
    <n v="1542"/>
    <n v="1412"/>
  </r>
  <r>
    <d v="2020-05-09T00:00:00"/>
    <x v="6"/>
    <n v="177976.5"/>
    <x v="249"/>
    <n v="3295.8611111111113"/>
    <x v="4"/>
    <n v="54"/>
    <n v="11288"/>
    <n v="10492"/>
  </r>
  <r>
    <d v="2020-05-10T00:00:00"/>
    <x v="11"/>
    <n v="368649"/>
    <x v="250"/>
    <n v="2949.192"/>
    <x v="4"/>
    <n v="125"/>
    <n v="20368"/>
    <n v="18884"/>
  </r>
  <r>
    <d v="2020-05-09T00:00:00"/>
    <x v="7"/>
    <n v="188319"/>
    <x v="251"/>
    <n v="3191.8474576271187"/>
    <x v="4"/>
    <n v="59"/>
    <n v="12016"/>
    <n v="11137"/>
  </r>
  <r>
    <d v="2020-05-09T00:00:00"/>
    <x v="9"/>
    <n v="11745"/>
    <x v="252"/>
    <n v="783"/>
    <x v="4"/>
    <n v="15"/>
    <n v="654"/>
    <n v="570"/>
  </r>
  <r>
    <d v="2020-05-24T00:00:00"/>
    <x v="11"/>
    <n v="375744"/>
    <x v="253"/>
    <n v="3005.9520000000002"/>
    <x v="3"/>
    <n v="125"/>
    <n v="21004"/>
    <n v="19556"/>
  </r>
  <r>
    <d v="2020-05-09T00:00:00"/>
    <x v="10"/>
    <n v="13948.5"/>
    <x v="254"/>
    <n v="929.9"/>
    <x v="4"/>
    <n v="15"/>
    <n v="849"/>
    <n v="740"/>
  </r>
  <r>
    <d v="2020-05-16T00:00:00"/>
    <x v="1"/>
    <n v="81331.5"/>
    <x v="255"/>
    <n v="2259.2083333333335"/>
    <x v="2"/>
    <n v="36"/>
    <n v="5286"/>
    <n v="4867"/>
  </r>
  <r>
    <d v="2020-05-09T00:00:00"/>
    <x v="14"/>
    <n v="12037.5"/>
    <x v="256"/>
    <n v="802.5"/>
    <x v="4"/>
    <n v="15"/>
    <n v="623"/>
    <n v="535"/>
  </r>
  <r>
    <d v="2020-05-19T00:00:00"/>
    <x v="1"/>
    <n v="75796.5"/>
    <x v="257"/>
    <n v="2105.4583333333335"/>
    <x v="3"/>
    <n v="36"/>
    <n v="5094"/>
    <n v="4716"/>
  </r>
  <r>
    <d v="2020-05-17T00:00:00"/>
    <x v="1"/>
    <n v="72861"/>
    <x v="258"/>
    <n v="2023.9166666666667"/>
    <x v="2"/>
    <n v="36"/>
    <n v="4918"/>
    <n v="4554"/>
  </r>
  <r>
    <d v="2020-05-10T00:00:00"/>
    <x v="1"/>
    <n v="88311"/>
    <x v="259"/>
    <n v="2453.0833333333335"/>
    <x v="4"/>
    <n v="36"/>
    <n v="5746"/>
    <n v="5277"/>
  </r>
  <r>
    <d v="2020-05-10T00:00:00"/>
    <x v="3"/>
    <n v="37489.5"/>
    <x v="260"/>
    <n v="1785.2142857142858"/>
    <x v="4"/>
    <n v="21"/>
    <n v="2120"/>
    <n v="1921"/>
  </r>
  <r>
    <d v="2020-05-26T00:00:00"/>
    <x v="1"/>
    <n v="67726.5"/>
    <x v="261"/>
    <n v="1881.2916666666667"/>
    <x v="0"/>
    <n v="36"/>
    <n v="4770"/>
    <n v="4424"/>
  </r>
  <r>
    <d v="2020-05-10T00:00:00"/>
    <x v="5"/>
    <n v="31224"/>
    <x v="262"/>
    <n v="1643.3684210526317"/>
    <x v="4"/>
    <n v="19"/>
    <n v="1836"/>
    <n v="1680"/>
  </r>
  <r>
    <d v="2020-05-12T00:00:00"/>
    <x v="1"/>
    <n v="64390.5"/>
    <x v="263"/>
    <n v="1788.625"/>
    <x v="2"/>
    <n v="36"/>
    <n v="4418"/>
    <n v="4088"/>
  </r>
  <r>
    <d v="2020-05-10T00:00:00"/>
    <x v="6"/>
    <n v="231559.5"/>
    <x v="264"/>
    <n v="4288.1388888888887"/>
    <x v="4"/>
    <n v="54"/>
    <n v="13832"/>
    <n v="12864"/>
  </r>
  <r>
    <d v="2020-05-21T00:00:00"/>
    <x v="1"/>
    <n v="73126.5"/>
    <x v="265"/>
    <n v="2031.2916666666667"/>
    <x v="3"/>
    <n v="36"/>
    <n v="4816"/>
    <n v="4452"/>
  </r>
  <r>
    <d v="2020-05-10T00:00:00"/>
    <x v="7"/>
    <n v="243825"/>
    <x v="266"/>
    <n v="4132.6271186440681"/>
    <x v="4"/>
    <n v="59"/>
    <n v="14569"/>
    <n v="13566"/>
  </r>
  <r>
    <d v="2020-05-20T00:00:00"/>
    <x v="1"/>
    <n v="99631.5"/>
    <x v="267"/>
    <n v="2767.5416666666665"/>
    <x v="3"/>
    <n v="36"/>
    <n v="5914"/>
    <n v="5384"/>
  </r>
  <r>
    <d v="2020-05-10T00:00:00"/>
    <x v="9"/>
    <n v="14566.5"/>
    <x v="268"/>
    <n v="971.1"/>
    <x v="4"/>
    <n v="15"/>
    <n v="792"/>
    <n v="695"/>
  </r>
  <r>
    <d v="2020-05-10T00:00:00"/>
    <x v="10"/>
    <n v="16435.5"/>
    <x v="269"/>
    <n v="1095.7"/>
    <x v="4"/>
    <n v="15"/>
    <n v="950"/>
    <n v="848"/>
  </r>
  <r>
    <d v="2020-05-13T00:00:00"/>
    <x v="1"/>
    <n v="73062"/>
    <x v="270"/>
    <n v="2029.5"/>
    <x v="2"/>
    <n v="36"/>
    <n v="4967"/>
    <n v="4583"/>
  </r>
  <r>
    <d v="2020-05-10T00:00:00"/>
    <x v="14"/>
    <n v="13440"/>
    <x v="271"/>
    <n v="896"/>
    <x v="4"/>
    <n v="15"/>
    <n v="706"/>
    <n v="608"/>
  </r>
  <r>
    <d v="2020-05-31T00:00:00"/>
    <x v="11"/>
    <n v="379663.5"/>
    <x v="272"/>
    <n v="3061.8024193548385"/>
    <x v="0"/>
    <n v="124"/>
    <n v="21392"/>
    <n v="19869"/>
  </r>
  <r>
    <d v="2020-05-30T00:00:00"/>
    <x v="11"/>
    <n v="453123"/>
    <x v="273"/>
    <n v="3654.2177419354839"/>
    <x v="0"/>
    <n v="124"/>
    <n v="24325"/>
    <n v="22469"/>
  </r>
  <r>
    <d v="2020-05-11T00:00:00"/>
    <x v="1"/>
    <n v="59574"/>
    <x v="274"/>
    <n v="1654.8333333333333"/>
    <x v="2"/>
    <n v="36"/>
    <n v="4150"/>
    <n v="3838"/>
  </r>
  <r>
    <d v="2020-05-23T00:00:00"/>
    <x v="1"/>
    <n v="89556"/>
    <x v="275"/>
    <n v="2487.6666666666665"/>
    <x v="3"/>
    <n v="36"/>
    <n v="5651"/>
    <n v="5212"/>
  </r>
  <r>
    <d v="2020-05-11T00:00:00"/>
    <x v="2"/>
    <n v="72220.5"/>
    <x v="276"/>
    <n v="2329.6935483870966"/>
    <x v="2"/>
    <n v="31"/>
    <n v="4826"/>
    <n v="4483"/>
  </r>
  <r>
    <d v="2020-05-28T00:00:00"/>
    <x v="11"/>
    <n v="364638"/>
    <x v="277"/>
    <n v="2940.6290322580644"/>
    <x v="0"/>
    <n v="124"/>
    <n v="20868"/>
    <n v="19342"/>
  </r>
  <r>
    <d v="2020-05-11T00:00:00"/>
    <x v="3"/>
    <n v="32733"/>
    <x v="278"/>
    <n v="1558.7142857142858"/>
    <x v="2"/>
    <n v="21"/>
    <n v="1916"/>
    <n v="1733"/>
  </r>
  <r>
    <d v="2020-05-25T00:00:00"/>
    <x v="1"/>
    <n v="66316.5"/>
    <x v="279"/>
    <n v="1842.125"/>
    <x v="0"/>
    <n v="36"/>
    <n v="4641"/>
    <n v="4274"/>
  </r>
  <r>
    <d v="2020-05-11T00:00:00"/>
    <x v="4"/>
    <n v="27187.5"/>
    <x v="280"/>
    <n v="1294.6428571428571"/>
    <x v="2"/>
    <n v="21"/>
    <n v="1597"/>
    <n v="1457"/>
  </r>
  <r>
    <d v="2020-05-11T00:00:00"/>
    <x v="5"/>
    <n v="23629.5"/>
    <x v="281"/>
    <n v="1243.6578947368421"/>
    <x v="2"/>
    <n v="19"/>
    <n v="1527"/>
    <n v="1389"/>
  </r>
  <r>
    <d v="2020-05-11T00:00:00"/>
    <x v="6"/>
    <n v="166948.5"/>
    <x v="282"/>
    <n v="3091.6388888888887"/>
    <x v="2"/>
    <n v="54"/>
    <n v="10570"/>
    <n v="9926"/>
  </r>
  <r>
    <d v="2020-05-11T00:00:00"/>
    <x v="7"/>
    <n v="175293"/>
    <x v="283"/>
    <n v="2921.55"/>
    <x v="2"/>
    <n v="60"/>
    <n v="11100"/>
    <n v="10407"/>
  </r>
  <r>
    <d v="2020-05-11T00:00:00"/>
    <x v="8"/>
    <n v="42397.5"/>
    <x v="284"/>
    <n v="2231.4473684210525"/>
    <x v="2"/>
    <n v="19"/>
    <n v="2530"/>
    <n v="2270"/>
  </r>
  <r>
    <d v="2020-05-24T00:00:00"/>
    <x v="1"/>
    <n v="74649"/>
    <x v="285"/>
    <n v="2073.5833333333335"/>
    <x v="3"/>
    <n v="36"/>
    <n v="4915"/>
    <n v="4562"/>
  </r>
  <r>
    <d v="2020-05-11T00:00:00"/>
    <x v="9"/>
    <n v="10941"/>
    <x v="286"/>
    <n v="729.4"/>
    <x v="2"/>
    <n v="15"/>
    <n v="654"/>
    <n v="564"/>
  </r>
  <r>
    <d v="2020-05-16T00:00:00"/>
    <x v="3"/>
    <n v="44560.5"/>
    <x v="287"/>
    <n v="2121.9285714285716"/>
    <x v="2"/>
    <n v="21"/>
    <n v="2427"/>
    <n v="2213"/>
  </r>
  <r>
    <d v="2020-05-11T00:00:00"/>
    <x v="10"/>
    <n v="12238.5"/>
    <x v="288"/>
    <n v="815.9"/>
    <x v="2"/>
    <n v="15"/>
    <n v="812"/>
    <n v="714"/>
  </r>
  <r>
    <d v="2020-05-19T00:00:00"/>
    <x v="3"/>
    <n v="38250"/>
    <x v="289"/>
    <n v="1821.4285714285713"/>
    <x v="3"/>
    <n v="21"/>
    <n v="2245"/>
    <n v="2053"/>
  </r>
  <r>
    <d v="2020-05-11T00:00:00"/>
    <x v="14"/>
    <n v="12654"/>
    <x v="290"/>
    <n v="843.6"/>
    <x v="2"/>
    <n v="15"/>
    <n v="684"/>
    <n v="585"/>
  </r>
  <r>
    <d v="2020-05-17T00:00:00"/>
    <x v="3"/>
    <n v="34830"/>
    <x v="291"/>
    <n v="1658.5714285714287"/>
    <x v="2"/>
    <n v="21"/>
    <n v="2054"/>
    <n v="1883"/>
  </r>
  <r>
    <d v="2020-05-11T00:00:00"/>
    <x v="11"/>
    <n v="318565.5"/>
    <x v="292"/>
    <n v="2548.5239999999999"/>
    <x v="2"/>
    <n v="125"/>
    <n v="18066"/>
    <n v="16883"/>
  </r>
  <r>
    <d v="2020-05-11T00:00:00"/>
    <x v="12"/>
    <n v="237099"/>
    <x v="293"/>
    <n v="1837.9767441860465"/>
    <x v="2"/>
    <n v="129"/>
    <n v="14043"/>
    <n v="13167"/>
  </r>
  <r>
    <d v="2020-05-11T00:00:00"/>
    <x v="13"/>
    <n v="9007.5"/>
    <x v="294"/>
    <n v="900.75"/>
    <x v="2"/>
    <n v="10"/>
    <n v="494"/>
    <n v="421"/>
  </r>
  <r>
    <d v="2020-05-26T00:00:00"/>
    <x v="3"/>
    <n v="40744.5"/>
    <x v="295"/>
    <n v="1940.2142857142858"/>
    <x v="0"/>
    <n v="21"/>
    <n v="2418"/>
    <n v="2215"/>
  </r>
  <r>
    <d v="2020-05-12T00:00:00"/>
    <x v="3"/>
    <n v="32419.5"/>
    <x v="296"/>
    <n v="1543.7857142857142"/>
    <x v="2"/>
    <n v="21"/>
    <n v="1926"/>
    <n v="1745"/>
  </r>
  <r>
    <d v="2020-05-12T00:00:00"/>
    <x v="5"/>
    <n v="25483.5"/>
    <x v="297"/>
    <n v="1341.2368421052631"/>
    <x v="2"/>
    <n v="19"/>
    <n v="1598"/>
    <n v="1454"/>
  </r>
  <r>
    <d v="2020-05-21T00:00:00"/>
    <x v="3"/>
    <n v="40819.5"/>
    <x v="298"/>
    <n v="1943.7857142857142"/>
    <x v="3"/>
    <n v="21"/>
    <n v="2335"/>
    <n v="2126"/>
  </r>
  <r>
    <d v="2020-05-12T00:00:00"/>
    <x v="6"/>
    <n v="189679.5"/>
    <x v="299"/>
    <n v="3512.5833333333335"/>
    <x v="2"/>
    <n v="54"/>
    <n v="11614"/>
    <n v="10862"/>
  </r>
  <r>
    <d v="2020-05-20T00:00:00"/>
    <x v="3"/>
    <n v="41391"/>
    <x v="300"/>
    <n v="1971"/>
    <x v="3"/>
    <n v="21"/>
    <n v="2410"/>
    <n v="2202"/>
  </r>
  <r>
    <d v="2020-05-12T00:00:00"/>
    <x v="7"/>
    <n v="192886.5"/>
    <x v="301"/>
    <n v="3214.7750000000001"/>
    <x v="2"/>
    <n v="60"/>
    <n v="12000"/>
    <n v="11194"/>
  </r>
  <r>
    <d v="2020-05-12T00:00:00"/>
    <x v="9"/>
    <n v="13443"/>
    <x v="302"/>
    <n v="896.2"/>
    <x v="2"/>
    <n v="15"/>
    <n v="750"/>
    <n v="659"/>
  </r>
  <r>
    <d v="2020-05-13T00:00:00"/>
    <x v="3"/>
    <n v="35535"/>
    <x v="303"/>
    <n v="1692.1428571428571"/>
    <x v="2"/>
    <n v="21"/>
    <n v="2061"/>
    <n v="1876"/>
  </r>
  <r>
    <d v="2020-05-12T00:00:00"/>
    <x v="10"/>
    <n v="12802.5"/>
    <x v="304"/>
    <n v="853.5"/>
    <x v="2"/>
    <n v="15"/>
    <n v="845"/>
    <n v="743"/>
  </r>
  <r>
    <d v="2020-05-31T00:00:00"/>
    <x v="1"/>
    <n v="76234.5"/>
    <x v="305"/>
    <n v="2060.3918918918921"/>
    <x v="0"/>
    <n v="37"/>
    <n v="5215"/>
    <n v="4848"/>
  </r>
  <r>
    <d v="2020-05-12T00:00:00"/>
    <x v="14"/>
    <n v="11296.5"/>
    <x v="306"/>
    <n v="753.1"/>
    <x v="2"/>
    <n v="15"/>
    <n v="624"/>
    <n v="538"/>
  </r>
  <r>
    <d v="2020-05-30T00:00:00"/>
    <x v="1"/>
    <n v="106926"/>
    <x v="307"/>
    <n v="2889.8918918918921"/>
    <x v="0"/>
    <n v="37"/>
    <n v="6645"/>
    <n v="6122"/>
  </r>
  <r>
    <d v="2020-05-23T00:00:00"/>
    <x v="3"/>
    <n v="42999"/>
    <x v="308"/>
    <n v="2047.5714285714287"/>
    <x v="3"/>
    <n v="21"/>
    <n v="2460"/>
    <n v="2226"/>
  </r>
  <r>
    <d v="2020-05-28T00:00:00"/>
    <x v="1"/>
    <n v="69945"/>
    <x v="309"/>
    <n v="1890.4054054054054"/>
    <x v="0"/>
    <n v="37"/>
    <n v="4840"/>
    <n v="4475"/>
  </r>
  <r>
    <d v="2020-05-25T00:00:00"/>
    <x v="3"/>
    <n v="38740.5"/>
    <x v="310"/>
    <n v="1844.7857142857142"/>
    <x v="0"/>
    <n v="21"/>
    <n v="2330"/>
    <n v="2142"/>
  </r>
  <r>
    <d v="2020-05-13T00:00:00"/>
    <x v="5"/>
    <n v="25539"/>
    <x v="311"/>
    <n v="1344.1578947368421"/>
    <x v="2"/>
    <n v="19"/>
    <n v="1605"/>
    <n v="1447"/>
  </r>
  <r>
    <d v="2020-05-13T00:00:00"/>
    <x v="6"/>
    <n v="188662.5"/>
    <x v="312"/>
    <n v="3493.75"/>
    <x v="2"/>
    <n v="54"/>
    <n v="11522"/>
    <n v="10803"/>
  </r>
  <r>
    <d v="2020-05-13T00:00:00"/>
    <x v="7"/>
    <n v="193722"/>
    <x v="313"/>
    <n v="3228.7"/>
    <x v="2"/>
    <n v="60"/>
    <n v="12007"/>
    <n v="11245"/>
  </r>
  <r>
    <d v="2020-05-24T00:00:00"/>
    <x v="3"/>
    <n v="38194.5"/>
    <x v="314"/>
    <n v="1818.7857142857142"/>
    <x v="3"/>
    <n v="21"/>
    <n v="2254"/>
    <n v="2061"/>
  </r>
  <r>
    <d v="2020-05-31T00:00:00"/>
    <x v="3"/>
    <n v="42423"/>
    <x v="315"/>
    <n v="1844.4782608695652"/>
    <x v="0"/>
    <n v="23"/>
    <n v="2522"/>
    <n v="2295"/>
  </r>
  <r>
    <d v="2020-05-13T00:00:00"/>
    <x v="9"/>
    <n v="14643"/>
    <x v="316"/>
    <n v="976.2"/>
    <x v="2"/>
    <n v="15"/>
    <n v="854"/>
    <n v="756"/>
  </r>
  <r>
    <d v="2020-05-30T00:00:00"/>
    <x v="3"/>
    <n v="48286.5"/>
    <x v="317"/>
    <n v="2194.840909090909"/>
    <x v="0"/>
    <n v="22"/>
    <n v="2793"/>
    <n v="2539"/>
  </r>
  <r>
    <d v="2020-05-13T00:00:00"/>
    <x v="10"/>
    <n v="14305.5"/>
    <x v="318"/>
    <n v="953.7"/>
    <x v="2"/>
    <n v="15"/>
    <n v="898"/>
    <n v="795"/>
  </r>
  <r>
    <d v="2020-05-28T00:00:00"/>
    <x v="3"/>
    <n v="41442"/>
    <x v="319"/>
    <n v="1883.7272727272727"/>
    <x v="0"/>
    <n v="22"/>
    <n v="2454"/>
    <n v="2239"/>
  </r>
  <r>
    <d v="2020-05-13T00:00:00"/>
    <x v="14"/>
    <n v="10401"/>
    <x v="320"/>
    <n v="693.4"/>
    <x v="2"/>
    <n v="15"/>
    <n v="599"/>
    <n v="515"/>
  </r>
  <r>
    <d v="2020-05-16T00:00:00"/>
    <x v="10"/>
    <n v="18600"/>
    <x v="321"/>
    <n v="1240"/>
    <x v="2"/>
    <n v="15"/>
    <n v="1111"/>
    <n v="992"/>
  </r>
  <r>
    <d v="2020-05-19T00:00:00"/>
    <x v="10"/>
    <n v="16638"/>
    <x v="322"/>
    <n v="1039.875"/>
    <x v="3"/>
    <n v="16"/>
    <n v="1012"/>
    <n v="900"/>
  </r>
  <r>
    <d v="2020-05-17T00:00:00"/>
    <x v="10"/>
    <n v="15609"/>
    <x v="323"/>
    <n v="1040.5999999999999"/>
    <x v="2"/>
    <n v="15"/>
    <n v="971"/>
    <n v="856"/>
  </r>
  <r>
    <d v="2020-05-14T00:00:00"/>
    <x v="1"/>
    <n v="63645"/>
    <x v="324"/>
    <n v="1767.9166666666667"/>
    <x v="2"/>
    <n v="36"/>
    <n v="4285"/>
    <n v="3950"/>
  </r>
  <r>
    <d v="2020-05-14T00:00:00"/>
    <x v="2"/>
    <n v="70498.5"/>
    <x v="325"/>
    <n v="2274.1451612903224"/>
    <x v="2"/>
    <n v="31"/>
    <n v="4695"/>
    <n v="4372"/>
  </r>
  <r>
    <d v="2020-05-14T00:00:00"/>
    <x v="3"/>
    <n v="33886.5"/>
    <x v="326"/>
    <n v="1613.6428571428571"/>
    <x v="2"/>
    <n v="21"/>
    <n v="1993"/>
    <n v="1796"/>
  </r>
  <r>
    <d v="2020-05-14T00:00:00"/>
    <x v="4"/>
    <n v="29658"/>
    <x v="327"/>
    <n v="1412.2857142857142"/>
    <x v="2"/>
    <n v="21"/>
    <n v="1706"/>
    <n v="1548"/>
  </r>
  <r>
    <d v="2020-05-26T00:00:00"/>
    <x v="10"/>
    <n v="17391"/>
    <x v="328"/>
    <n v="1023"/>
    <x v="0"/>
    <n v="17"/>
    <n v="1140"/>
    <n v="1016"/>
  </r>
  <r>
    <d v="2020-05-14T00:00:00"/>
    <x v="5"/>
    <n v="25656"/>
    <x v="329"/>
    <n v="1350.3157894736842"/>
    <x v="2"/>
    <n v="19"/>
    <n v="1635"/>
    <n v="1487"/>
  </r>
  <r>
    <d v="2020-05-14T00:00:00"/>
    <x v="6"/>
    <n v="186496.5"/>
    <x v="330"/>
    <n v="3453.6388888888887"/>
    <x v="2"/>
    <n v="54"/>
    <n v="11194"/>
    <n v="10554"/>
  </r>
  <r>
    <d v="2020-05-14T00:00:00"/>
    <x v="7"/>
    <n v="197946"/>
    <x v="331"/>
    <n v="3299.1"/>
    <x v="2"/>
    <n v="60"/>
    <n v="11935"/>
    <n v="11178"/>
  </r>
  <r>
    <d v="2020-05-21T00:00:00"/>
    <x v="10"/>
    <n v="16554"/>
    <x v="332"/>
    <n v="973.76470588235293"/>
    <x v="3"/>
    <n v="17"/>
    <n v="1045"/>
    <n v="930"/>
  </r>
  <r>
    <d v="2020-05-14T00:00:00"/>
    <x v="8"/>
    <n v="27411"/>
    <x v="333"/>
    <n v="1442.6842105263158"/>
    <x v="2"/>
    <n v="19"/>
    <n v="1675"/>
    <n v="1475"/>
  </r>
  <r>
    <d v="2020-05-20T00:00:00"/>
    <x v="10"/>
    <n v="17329.5"/>
    <x v="334"/>
    <n v="1083.09375"/>
    <x v="3"/>
    <n v="16"/>
    <n v="1050"/>
    <n v="938"/>
  </r>
  <r>
    <d v="2020-05-14T00:00:00"/>
    <x v="9"/>
    <n v="13810.5"/>
    <x v="335"/>
    <n v="863.15625"/>
    <x v="2"/>
    <n v="16"/>
    <n v="834"/>
    <n v="735"/>
  </r>
  <r>
    <d v="2020-05-14T00:00:00"/>
    <x v="10"/>
    <n v="14385"/>
    <x v="336"/>
    <n v="959"/>
    <x v="2"/>
    <n v="15"/>
    <n v="890"/>
    <n v="777"/>
  </r>
  <r>
    <d v="2020-05-14T00:00:00"/>
    <x v="14"/>
    <n v="11161.5"/>
    <x v="337"/>
    <n v="744.1"/>
    <x v="2"/>
    <n v="15"/>
    <n v="638"/>
    <n v="548"/>
  </r>
  <r>
    <d v="2020-05-14T00:00:00"/>
    <x v="11"/>
    <n v="358387.5"/>
    <x v="338"/>
    <n v="2867.1"/>
    <x v="2"/>
    <n v="125"/>
    <n v="20247"/>
    <n v="18812"/>
  </r>
  <r>
    <d v="2020-05-14T00:00:00"/>
    <x v="12"/>
    <n v="274059"/>
    <x v="339"/>
    <n v="2124.4883720930234"/>
    <x v="2"/>
    <n v="129"/>
    <n v="15804"/>
    <n v="14738"/>
  </r>
  <r>
    <d v="2020-05-14T00:00:00"/>
    <x v="13"/>
    <n v="12037.5"/>
    <x v="340"/>
    <n v="1203.75"/>
    <x v="2"/>
    <n v="10"/>
    <n v="627"/>
    <n v="545"/>
  </r>
  <r>
    <d v="2020-05-23T00:00:00"/>
    <x v="10"/>
    <n v="21958.5"/>
    <x v="341"/>
    <n v="1291.6764705882354"/>
    <x v="3"/>
    <n v="17"/>
    <n v="1294"/>
    <n v="1155"/>
  </r>
  <r>
    <d v="2020-05-15T00:00:00"/>
    <x v="1"/>
    <n v="75642"/>
    <x v="342"/>
    <n v="2101.1666666666665"/>
    <x v="2"/>
    <n v="36"/>
    <n v="4862"/>
    <n v="4476"/>
  </r>
  <r>
    <d v="2020-05-25T00:00:00"/>
    <x v="10"/>
    <n v="17211"/>
    <x v="343"/>
    <n v="1012.4117647058823"/>
    <x v="0"/>
    <n v="17"/>
    <n v="1142"/>
    <n v="1020"/>
  </r>
  <r>
    <d v="2020-05-15T00:00:00"/>
    <x v="2"/>
    <n v="78961.5"/>
    <x v="344"/>
    <n v="2547.1451612903224"/>
    <x v="2"/>
    <n v="31"/>
    <n v="5184"/>
    <n v="4778"/>
  </r>
  <r>
    <d v="2020-05-15T00:00:00"/>
    <x v="3"/>
    <n v="41697"/>
    <x v="345"/>
    <n v="1985.5714285714287"/>
    <x v="2"/>
    <n v="21"/>
    <n v="2255"/>
    <n v="2045"/>
  </r>
  <r>
    <d v="2020-05-15T00:00:00"/>
    <x v="4"/>
    <n v="34150.5"/>
    <x v="346"/>
    <n v="1626.2142857142858"/>
    <x v="2"/>
    <n v="21"/>
    <n v="1926"/>
    <n v="1742"/>
  </r>
  <r>
    <d v="2020-05-15T00:00:00"/>
    <x v="5"/>
    <n v="29283"/>
    <x v="347"/>
    <n v="1541.2105263157894"/>
    <x v="2"/>
    <n v="19"/>
    <n v="1780"/>
    <n v="1615"/>
  </r>
  <r>
    <d v="2020-05-15T00:00:00"/>
    <x v="6"/>
    <n v="219772.5"/>
    <x v="348"/>
    <n v="4069.8611111111113"/>
    <x v="2"/>
    <n v="54"/>
    <n v="12791"/>
    <n v="11950"/>
  </r>
  <r>
    <d v="2020-05-24T00:00:00"/>
    <x v="10"/>
    <n v="18075"/>
    <x v="349"/>
    <n v="1063.2352941176471"/>
    <x v="3"/>
    <n v="17"/>
    <n v="1128"/>
    <n v="1001"/>
  </r>
  <r>
    <d v="2020-05-15T00:00:00"/>
    <x v="7"/>
    <n v="230896.5"/>
    <x v="350"/>
    <n v="3848.2750000000001"/>
    <x v="2"/>
    <n v="60"/>
    <n v="13544"/>
    <n v="12643"/>
  </r>
  <r>
    <d v="2020-05-16T00:00:00"/>
    <x v="14"/>
    <n v="13120.5"/>
    <x v="351"/>
    <n v="874.7"/>
    <x v="2"/>
    <n v="15"/>
    <n v="747"/>
    <n v="647"/>
  </r>
  <r>
    <d v="2020-05-15T00:00:00"/>
    <x v="8"/>
    <n v="32854.5"/>
    <x v="352"/>
    <n v="1729.1842105263158"/>
    <x v="2"/>
    <n v="19"/>
    <n v="1940"/>
    <n v="1715"/>
  </r>
  <r>
    <d v="2020-05-19T00:00:00"/>
    <x v="14"/>
    <n v="16237.5"/>
    <x v="353"/>
    <n v="1082.5"/>
    <x v="3"/>
    <n v="15"/>
    <n v="930"/>
    <n v="827"/>
  </r>
  <r>
    <d v="2020-05-15T00:00:00"/>
    <x v="9"/>
    <n v="13752"/>
    <x v="354"/>
    <n v="859.5"/>
    <x v="2"/>
    <n v="16"/>
    <n v="817"/>
    <n v="718"/>
  </r>
  <r>
    <d v="2020-05-17T00:00:00"/>
    <x v="14"/>
    <n v="11967"/>
    <x v="355"/>
    <n v="797.8"/>
    <x v="2"/>
    <n v="15"/>
    <n v="692"/>
    <n v="591"/>
  </r>
  <r>
    <d v="2020-05-15T00:00:00"/>
    <x v="10"/>
    <n v="16498.5"/>
    <x v="356"/>
    <n v="1099.9000000000001"/>
    <x v="2"/>
    <n v="15"/>
    <n v="980"/>
    <n v="867"/>
  </r>
  <r>
    <d v="2020-05-15T00:00:00"/>
    <x v="14"/>
    <n v="12229.5"/>
    <x v="357"/>
    <n v="815.3"/>
    <x v="2"/>
    <n v="15"/>
    <n v="688"/>
    <n v="598"/>
  </r>
  <r>
    <d v="2020-05-15T00:00:00"/>
    <x v="11"/>
    <n v="403261.5"/>
    <x v="358"/>
    <n v="3226.0920000000001"/>
    <x v="2"/>
    <n v="125"/>
    <n v="21862"/>
    <n v="20235"/>
  </r>
  <r>
    <d v="2020-05-15T00:00:00"/>
    <x v="12"/>
    <n v="318816"/>
    <x v="359"/>
    <n v="2471.4418604651164"/>
    <x v="2"/>
    <n v="129"/>
    <n v="17808"/>
    <n v="16486"/>
  </r>
  <r>
    <d v="2020-05-15T00:00:00"/>
    <x v="13"/>
    <n v="14421"/>
    <x v="360"/>
    <n v="1442.1"/>
    <x v="2"/>
    <n v="10"/>
    <n v="743"/>
    <n v="652"/>
  </r>
  <r>
    <d v="2020-05-26T00:00:00"/>
    <x v="14"/>
    <n v="12259.5"/>
    <x v="361"/>
    <n v="817.3"/>
    <x v="0"/>
    <n v="15"/>
    <n v="812"/>
    <n v="711"/>
  </r>
  <r>
    <d v="2020-05-21T00:00:00"/>
    <x v="14"/>
    <n v="12135"/>
    <x v="362"/>
    <n v="809"/>
    <x v="3"/>
    <n v="15"/>
    <n v="749"/>
    <n v="652"/>
  </r>
  <r>
    <d v="2020-05-20T00:00:00"/>
    <x v="14"/>
    <n v="12630"/>
    <x v="363"/>
    <n v="842"/>
    <x v="3"/>
    <n v="15"/>
    <n v="760"/>
    <n v="664"/>
  </r>
  <r>
    <d v="2020-05-16T00:00:00"/>
    <x v="5"/>
    <n v="34563"/>
    <x v="364"/>
    <n v="1819.1052631578948"/>
    <x v="2"/>
    <n v="19"/>
    <n v="2039"/>
    <n v="1868"/>
  </r>
  <r>
    <d v="2020-05-16T00:00:00"/>
    <x v="6"/>
    <n v="225480"/>
    <x v="365"/>
    <n v="4175.5555555555557"/>
    <x v="2"/>
    <n v="54"/>
    <n v="13170"/>
    <n v="12299"/>
  </r>
  <r>
    <d v="2020-05-16T00:00:00"/>
    <x v="7"/>
    <n v="236551.5"/>
    <x v="366"/>
    <n v="3942.5250000000001"/>
    <x v="2"/>
    <n v="60"/>
    <n v="14049"/>
    <n v="13118"/>
  </r>
  <r>
    <d v="2020-05-31T00:00:00"/>
    <x v="10"/>
    <n v="17689.5"/>
    <x v="367"/>
    <n v="1040.5588235294117"/>
    <x v="0"/>
    <n v="17"/>
    <n v="1186"/>
    <n v="1054"/>
  </r>
  <r>
    <d v="2020-05-16T00:00:00"/>
    <x v="9"/>
    <n v="16368"/>
    <x v="368"/>
    <n v="1023"/>
    <x v="2"/>
    <n v="16"/>
    <n v="920"/>
    <n v="818"/>
  </r>
  <r>
    <d v="2020-05-30T00:00:00"/>
    <x v="10"/>
    <n v="27250.5"/>
    <x v="369"/>
    <n v="1602.9705882352941"/>
    <x v="0"/>
    <n v="17"/>
    <n v="1697"/>
    <n v="1499"/>
  </r>
  <r>
    <d v="2020-05-23T00:00:00"/>
    <x v="14"/>
    <n v="14167.5"/>
    <x v="370"/>
    <n v="944.5"/>
    <x v="3"/>
    <n v="15"/>
    <n v="840"/>
    <n v="725"/>
  </r>
  <r>
    <d v="2020-05-28T00:00:00"/>
    <x v="10"/>
    <n v="16500"/>
    <x v="371"/>
    <n v="970.58823529411768"/>
    <x v="0"/>
    <n v="17"/>
    <n v="1097"/>
    <n v="968"/>
  </r>
  <r>
    <d v="2020-05-25T00:00:00"/>
    <x v="14"/>
    <n v="13260"/>
    <x v="372"/>
    <n v="884"/>
    <x v="0"/>
    <n v="15"/>
    <n v="835"/>
    <n v="736"/>
  </r>
  <r>
    <d v="2020-05-17T00:00:00"/>
    <x v="5"/>
    <n v="28275"/>
    <x v="373"/>
    <n v="1488.1578947368421"/>
    <x v="2"/>
    <n v="19"/>
    <n v="1790"/>
    <n v="1633"/>
  </r>
  <r>
    <d v="2020-05-24T00:00:00"/>
    <x v="14"/>
    <n v="12666"/>
    <x v="374"/>
    <n v="844.4"/>
    <x v="3"/>
    <n v="15"/>
    <n v="779"/>
    <n v="673"/>
  </r>
  <r>
    <d v="2020-05-17T00:00:00"/>
    <x v="6"/>
    <n v="184801.5"/>
    <x v="375"/>
    <n v="3422.25"/>
    <x v="2"/>
    <n v="54"/>
    <n v="11128"/>
    <n v="10467"/>
  </r>
  <r>
    <d v="2020-05-17T00:00:00"/>
    <x v="7"/>
    <n v="193363.5"/>
    <x v="376"/>
    <n v="3222.7249999999999"/>
    <x v="2"/>
    <n v="60"/>
    <n v="11698"/>
    <n v="10989"/>
  </r>
  <r>
    <d v="2020-05-19T00:00:00"/>
    <x v="5"/>
    <n v="28882.5"/>
    <x v="377"/>
    <n v="1520.1315789473683"/>
    <x v="3"/>
    <n v="19"/>
    <n v="1831"/>
    <n v="1667"/>
  </r>
  <r>
    <d v="2020-05-17T00:00:00"/>
    <x v="9"/>
    <n v="13440"/>
    <x v="378"/>
    <n v="840"/>
    <x v="2"/>
    <n v="16"/>
    <n v="859"/>
    <n v="746"/>
  </r>
  <r>
    <d v="2020-05-26T00:00:00"/>
    <x v="5"/>
    <n v="27156"/>
    <x v="379"/>
    <n v="1357.8"/>
    <x v="0"/>
    <n v="20"/>
    <n v="1814"/>
    <n v="1655"/>
  </r>
  <r>
    <d v="2020-05-18T00:00:00"/>
    <x v="1"/>
    <n v="70278"/>
    <x v="380"/>
    <n v="1952.1666666666667"/>
    <x v="3"/>
    <n v="36"/>
    <n v="4885"/>
    <n v="4502"/>
  </r>
  <r>
    <d v="2020-05-21T00:00:00"/>
    <x v="5"/>
    <n v="25362"/>
    <x v="381"/>
    <n v="1334.8421052631579"/>
    <x v="3"/>
    <n v="19"/>
    <n v="1650"/>
    <n v="1505"/>
  </r>
  <r>
    <d v="2020-05-18T00:00:00"/>
    <x v="2"/>
    <n v="78058.5"/>
    <x v="382"/>
    <n v="2518.016129032258"/>
    <x v="3"/>
    <n v="31"/>
    <n v="5165"/>
    <n v="4813"/>
  </r>
  <r>
    <d v="2020-05-20T00:00:00"/>
    <x v="5"/>
    <n v="28849.5"/>
    <x v="383"/>
    <n v="1518.3947368421052"/>
    <x v="3"/>
    <n v="19"/>
    <n v="1823"/>
    <n v="1678"/>
  </r>
  <r>
    <d v="2020-05-18T00:00:00"/>
    <x v="3"/>
    <n v="36655.5"/>
    <x v="384"/>
    <n v="1745.5"/>
    <x v="3"/>
    <n v="21"/>
    <n v="2136"/>
    <n v="1947"/>
  </r>
  <r>
    <d v="2020-05-18T00:00:00"/>
    <x v="4"/>
    <n v="31329"/>
    <x v="385"/>
    <n v="1491.8571428571429"/>
    <x v="3"/>
    <n v="21"/>
    <n v="1834"/>
    <n v="1660"/>
  </r>
  <r>
    <d v="2020-05-18T00:00:00"/>
    <x v="5"/>
    <n v="27181.5"/>
    <x v="386"/>
    <n v="1430.6052631578948"/>
    <x v="3"/>
    <n v="19"/>
    <n v="1741"/>
    <n v="1597"/>
  </r>
  <r>
    <d v="2020-05-31T00:00:00"/>
    <x v="14"/>
    <n v="14808"/>
    <x v="387"/>
    <n v="925.5"/>
    <x v="0"/>
    <n v="16"/>
    <n v="917"/>
    <n v="802"/>
  </r>
  <r>
    <d v="2020-05-18T00:00:00"/>
    <x v="6"/>
    <n v="196560"/>
    <x v="388"/>
    <n v="3640"/>
    <x v="3"/>
    <n v="54"/>
    <n v="12012"/>
    <n v="11308"/>
  </r>
  <r>
    <d v="2020-05-18T00:00:00"/>
    <x v="7"/>
    <n v="201999"/>
    <x v="389"/>
    <n v="3366.65"/>
    <x v="3"/>
    <n v="60"/>
    <n v="12460"/>
    <n v="11665"/>
  </r>
  <r>
    <d v="2020-05-30T00:00:00"/>
    <x v="14"/>
    <n v="17946"/>
    <x v="390"/>
    <n v="1121.625"/>
    <x v="0"/>
    <n v="16"/>
    <n v="1048"/>
    <n v="918"/>
  </r>
  <r>
    <d v="2020-05-18T00:00:00"/>
    <x v="8"/>
    <n v="28668"/>
    <x v="391"/>
    <n v="1508.8421052631579"/>
    <x v="3"/>
    <n v="19"/>
    <n v="1858"/>
    <n v="1648"/>
  </r>
  <r>
    <d v="2020-05-18T00:00:00"/>
    <x v="9"/>
    <n v="14497.5"/>
    <x v="392"/>
    <n v="906.09375"/>
    <x v="3"/>
    <n v="16"/>
    <n v="864"/>
    <n v="765"/>
  </r>
  <r>
    <d v="2020-05-23T00:00:00"/>
    <x v="5"/>
    <n v="36997.5"/>
    <x v="393"/>
    <n v="1947.2368421052631"/>
    <x v="3"/>
    <n v="19"/>
    <n v="2195"/>
    <n v="1999"/>
  </r>
  <r>
    <d v="2020-05-18T00:00:00"/>
    <x v="10"/>
    <n v="14290.5"/>
    <x v="394"/>
    <n v="893.15625"/>
    <x v="3"/>
    <n v="16"/>
    <n v="925"/>
    <n v="816"/>
  </r>
  <r>
    <d v="2020-05-28T00:00:00"/>
    <x v="14"/>
    <n v="13864.5"/>
    <x v="395"/>
    <n v="866.53125"/>
    <x v="0"/>
    <n v="16"/>
    <n v="876"/>
    <n v="762"/>
  </r>
  <r>
    <d v="2020-05-18T00:00:00"/>
    <x v="14"/>
    <n v="12450"/>
    <x v="396"/>
    <n v="830"/>
    <x v="3"/>
    <n v="15"/>
    <n v="729"/>
    <n v="636"/>
  </r>
  <r>
    <d v="2020-05-25T00:00:00"/>
    <x v="5"/>
    <n v="28494"/>
    <x v="397"/>
    <n v="1424.7"/>
    <x v="0"/>
    <n v="20"/>
    <n v="1899"/>
    <n v="1738"/>
  </r>
  <r>
    <d v="2020-05-18T00:00:00"/>
    <x v="11"/>
    <n v="355081.5"/>
    <x v="398"/>
    <n v="2840.652"/>
    <x v="3"/>
    <n v="125"/>
    <n v="20449"/>
    <n v="19060"/>
  </r>
  <r>
    <d v="2020-05-18T00:00:00"/>
    <x v="12"/>
    <n v="273900"/>
    <x v="399"/>
    <n v="2123.2558139534885"/>
    <x v="3"/>
    <n v="129"/>
    <n v="16110"/>
    <n v="14992"/>
  </r>
  <r>
    <d v="2020-05-18T00:00:00"/>
    <x v="13"/>
    <n v="11680.5"/>
    <x v="400"/>
    <n v="1168.05"/>
    <x v="3"/>
    <n v="10"/>
    <n v="645"/>
    <n v="565"/>
  </r>
  <r>
    <d v="2020-05-24T00:00:00"/>
    <x v="5"/>
    <n v="29824.5"/>
    <x v="401"/>
    <n v="1569.7105263157894"/>
    <x v="3"/>
    <n v="19"/>
    <n v="1868"/>
    <n v="1706"/>
  </r>
  <r>
    <d v="2020-05-31T00:00:00"/>
    <x v="5"/>
    <n v="31372.5"/>
    <x v="402"/>
    <n v="1493.9285714285713"/>
    <x v="0"/>
    <n v="21"/>
    <n v="2056"/>
    <n v="1879"/>
  </r>
  <r>
    <d v="2020-05-19T00:00:00"/>
    <x v="6"/>
    <n v="211453.5"/>
    <x v="403"/>
    <n v="3915.8055555555557"/>
    <x v="3"/>
    <n v="54"/>
    <n v="13070"/>
    <n v="12244"/>
  </r>
  <r>
    <d v="2020-05-30T00:00:00"/>
    <x v="5"/>
    <n v="34681.5"/>
    <x v="404"/>
    <n v="1734.075"/>
    <x v="0"/>
    <n v="20"/>
    <n v="2174"/>
    <n v="1957"/>
  </r>
  <r>
    <d v="2020-05-19T00:00:00"/>
    <x v="7"/>
    <n v="223597.5"/>
    <x v="405"/>
    <n v="3726.625"/>
    <x v="3"/>
    <n v="60"/>
    <n v="13867"/>
    <n v="12987"/>
  </r>
  <r>
    <d v="2020-05-28T00:00:00"/>
    <x v="5"/>
    <n v="28197"/>
    <x v="406"/>
    <n v="1409.85"/>
    <x v="0"/>
    <n v="20"/>
    <n v="1875"/>
    <n v="1701"/>
  </r>
  <r>
    <d v="2020-05-19T00:00:00"/>
    <x v="9"/>
    <n v="14427"/>
    <x v="407"/>
    <n v="848.64705882352939"/>
    <x v="3"/>
    <n v="17"/>
    <n v="857"/>
    <n v="757"/>
  </r>
  <r>
    <d v="2020-05-26T00:00:00"/>
    <x v="7"/>
    <n v="244905"/>
    <x v="408"/>
    <n v="4150.9322033898306"/>
    <x v="0"/>
    <n v="59"/>
    <n v="15369"/>
    <n v="14299"/>
  </r>
  <r>
    <d v="2020-05-21T00:00:00"/>
    <x v="7"/>
    <n v="224233.5"/>
    <x v="409"/>
    <n v="3737.2249999999999"/>
    <x v="3"/>
    <n v="60"/>
    <n v="14005"/>
    <n v="13002"/>
  </r>
  <r>
    <d v="2020-05-20T00:00:00"/>
    <x v="7"/>
    <n v="219622.5"/>
    <x v="410"/>
    <n v="3660.375"/>
    <x v="3"/>
    <n v="60"/>
    <n v="13792"/>
    <n v="12834"/>
  </r>
  <r>
    <d v="2020-05-20T00:00:00"/>
    <x v="6"/>
    <n v="214885.5"/>
    <x v="411"/>
    <n v="3979.3611111111113"/>
    <x v="3"/>
    <n v="54"/>
    <n v="13298"/>
    <n v="12428"/>
  </r>
  <r>
    <d v="2020-05-20T00:00:00"/>
    <x v="9"/>
    <n v="14928"/>
    <x v="412"/>
    <n v="878.11764705882354"/>
    <x v="3"/>
    <n v="17"/>
    <n v="890"/>
    <n v="794"/>
  </r>
  <r>
    <d v="2020-05-23T00:00:00"/>
    <x v="7"/>
    <n v="292018.5"/>
    <x v="413"/>
    <n v="4866.9750000000004"/>
    <x v="3"/>
    <n v="60"/>
    <n v="17295"/>
    <n v="16010"/>
  </r>
  <r>
    <d v="2020-05-25T00:00:00"/>
    <x v="7"/>
    <n v="198751.5"/>
    <x v="414"/>
    <n v="3368.6694915254238"/>
    <x v="0"/>
    <n v="59"/>
    <n v="12983"/>
    <n v="12056"/>
  </r>
  <r>
    <d v="2020-05-24T00:00:00"/>
    <x v="7"/>
    <n v="200029.5"/>
    <x v="415"/>
    <n v="3333.8249999999998"/>
    <x v="3"/>
    <n v="60"/>
    <n v="12822"/>
    <n v="11916"/>
  </r>
  <r>
    <d v="2020-05-21T00:00:00"/>
    <x v="6"/>
    <n v="213640.5"/>
    <x v="416"/>
    <n v="3956.3055555555557"/>
    <x v="3"/>
    <n v="54"/>
    <n v="13240"/>
    <n v="12360"/>
  </r>
  <r>
    <d v="2020-05-21T00:00:00"/>
    <x v="9"/>
    <n v="14182.5"/>
    <x v="417"/>
    <n v="787.91666666666663"/>
    <x v="3"/>
    <n v="18"/>
    <n v="888"/>
    <n v="786"/>
  </r>
  <r>
    <d v="2020-05-26T00:00:00"/>
    <x v="6"/>
    <n v="232369.5"/>
    <x v="418"/>
    <n v="4303.1388888888887"/>
    <x v="0"/>
    <n v="54"/>
    <n v="14482"/>
    <n v="13510"/>
  </r>
  <r>
    <d v="2020-05-22T00:00:00"/>
    <x v="1"/>
    <n v="75820.5"/>
    <x v="419"/>
    <n v="2106.125"/>
    <x v="3"/>
    <n v="36"/>
    <n v="4857"/>
    <n v="4456"/>
  </r>
  <r>
    <d v="2020-05-22T00:00:00"/>
    <x v="2"/>
    <n v="97963.5"/>
    <x v="420"/>
    <n v="3160.1129032258063"/>
    <x v="3"/>
    <n v="31"/>
    <n v="5965"/>
    <n v="5533"/>
  </r>
  <r>
    <d v="2020-05-22T00:00:00"/>
    <x v="3"/>
    <n v="53838"/>
    <x v="421"/>
    <n v="2563.7142857142858"/>
    <x v="3"/>
    <n v="21"/>
    <n v="2861"/>
    <n v="2612"/>
  </r>
  <r>
    <d v="2020-05-31T00:00:00"/>
    <x v="7"/>
    <n v="215277"/>
    <x v="422"/>
    <n v="3648.7627118644068"/>
    <x v="0"/>
    <n v="59"/>
    <n v="13684"/>
    <n v="12690"/>
  </r>
  <r>
    <d v="2020-05-22T00:00:00"/>
    <x v="4"/>
    <n v="36031.5"/>
    <x v="423"/>
    <n v="1715.7857142857142"/>
    <x v="3"/>
    <n v="21"/>
    <n v="2046"/>
    <n v="1853"/>
  </r>
  <r>
    <d v="2020-05-22T00:00:00"/>
    <x v="5"/>
    <n v="30781.5"/>
    <x v="424"/>
    <n v="1620.078947368421"/>
    <x v="3"/>
    <n v="19"/>
    <n v="1859"/>
    <n v="1697"/>
  </r>
  <r>
    <d v="2020-05-30T00:00:00"/>
    <x v="7"/>
    <n v="246414"/>
    <x v="425"/>
    <n v="4176.5084745762715"/>
    <x v="0"/>
    <n v="59"/>
    <n v="15030"/>
    <n v="13956"/>
  </r>
  <r>
    <d v="2020-05-22T00:00:00"/>
    <x v="6"/>
    <n v="214428"/>
    <x v="426"/>
    <n v="3970.8888888888887"/>
    <x v="3"/>
    <n v="54"/>
    <n v="13014"/>
    <n v="12095"/>
  </r>
  <r>
    <d v="2020-05-22T00:00:00"/>
    <x v="7"/>
    <n v="228334.5"/>
    <x v="427"/>
    <n v="3805.5749999999998"/>
    <x v="3"/>
    <n v="60"/>
    <n v="14050"/>
    <n v="13027"/>
  </r>
  <r>
    <d v="2020-05-23T00:00:00"/>
    <x v="6"/>
    <n v="275793"/>
    <x v="428"/>
    <n v="5107.2777777777774"/>
    <x v="3"/>
    <n v="54"/>
    <n v="16221"/>
    <n v="15065"/>
  </r>
  <r>
    <d v="2020-05-22T00:00:00"/>
    <x v="8"/>
    <n v="38074.5"/>
    <x v="429"/>
    <n v="1903.7249999999999"/>
    <x v="3"/>
    <n v="20"/>
    <n v="2306"/>
    <n v="2054"/>
  </r>
  <r>
    <d v="2020-05-28T00:00:00"/>
    <x v="7"/>
    <n v="199753.5"/>
    <x v="430"/>
    <n v="3329.2249999999999"/>
    <x v="0"/>
    <n v="60"/>
    <n v="12854"/>
    <n v="11954"/>
  </r>
  <r>
    <d v="2020-05-22T00:00:00"/>
    <x v="9"/>
    <n v="17008.5"/>
    <x v="431"/>
    <n v="944.91666666666663"/>
    <x v="3"/>
    <n v="18"/>
    <n v="985"/>
    <n v="861"/>
  </r>
  <r>
    <d v="2020-05-25T00:00:00"/>
    <x v="6"/>
    <n v="192948"/>
    <x v="432"/>
    <n v="3573.1111111111113"/>
    <x v="0"/>
    <n v="54"/>
    <n v="12336"/>
    <n v="11519"/>
  </r>
  <r>
    <d v="2020-05-22T00:00:00"/>
    <x v="10"/>
    <n v="21483"/>
    <x v="433"/>
    <n v="1263.7058823529412"/>
    <x v="3"/>
    <n v="17"/>
    <n v="1268"/>
    <n v="1129"/>
  </r>
  <r>
    <d v="2020-05-22T00:00:00"/>
    <x v="14"/>
    <n v="15802.5"/>
    <x v="434"/>
    <n v="1053.5"/>
    <x v="3"/>
    <n v="15"/>
    <n v="903"/>
    <n v="792"/>
  </r>
  <r>
    <d v="2020-05-22T00:00:00"/>
    <x v="11"/>
    <n v="393018"/>
    <x v="435"/>
    <n v="3144.1439999999998"/>
    <x v="3"/>
    <n v="125"/>
    <n v="21427"/>
    <n v="19799"/>
  </r>
  <r>
    <d v="2020-05-22T00:00:00"/>
    <x v="12"/>
    <n v="304092"/>
    <x v="436"/>
    <n v="2357.3023255813955"/>
    <x v="3"/>
    <n v="129"/>
    <n v="17088"/>
    <n v="15804"/>
  </r>
  <r>
    <d v="2020-05-22T00:00:00"/>
    <x v="13"/>
    <n v="18036"/>
    <x v="437"/>
    <n v="1803.6"/>
    <x v="3"/>
    <n v="10"/>
    <n v="965"/>
    <n v="861"/>
  </r>
  <r>
    <d v="2020-05-24T00:00:00"/>
    <x v="6"/>
    <n v="193719"/>
    <x v="438"/>
    <n v="3587.3888888888887"/>
    <x v="3"/>
    <n v="54"/>
    <n v="12211"/>
    <n v="11427"/>
  </r>
  <r>
    <d v="2020-05-31T00:00:00"/>
    <x v="6"/>
    <n v="206758.5"/>
    <x v="439"/>
    <n v="3828.8611111111113"/>
    <x v="0"/>
    <n v="54"/>
    <n v="13106"/>
    <n v="12164"/>
  </r>
  <r>
    <d v="2020-05-30T00:00:00"/>
    <x v="6"/>
    <n v="244734"/>
    <x v="440"/>
    <n v="4532.1111111111113"/>
    <x v="0"/>
    <n v="54"/>
    <n v="14590"/>
    <n v="13551"/>
  </r>
  <r>
    <d v="2020-05-28T00:00:00"/>
    <x v="6"/>
    <n v="191641.5"/>
    <x v="441"/>
    <n v="3548.9166666666665"/>
    <x v="0"/>
    <n v="54"/>
    <n v="12409"/>
    <n v="11582"/>
  </r>
  <r>
    <d v="2020-05-23T00:00:00"/>
    <x v="9"/>
    <n v="17943"/>
    <x v="442"/>
    <n v="996.83333333333337"/>
    <x v="3"/>
    <n v="18"/>
    <n v="1031"/>
    <n v="918"/>
  </r>
  <r>
    <d v="2020-05-26T00:00:00"/>
    <x v="15"/>
    <n v="10437"/>
    <x v="443"/>
    <n v="1491"/>
    <x v="0"/>
    <n v="7"/>
    <n v="577"/>
    <n v="389"/>
  </r>
  <r>
    <d v="2020-05-25T00:00:00"/>
    <x v="9"/>
    <n v="15807"/>
    <x v="444"/>
    <n v="878.16666666666663"/>
    <x v="0"/>
    <n v="18"/>
    <n v="989"/>
    <n v="887"/>
  </r>
  <r>
    <d v="2020-05-24T00:00:00"/>
    <x v="9"/>
    <n v="17197.5"/>
    <x v="445"/>
    <n v="955.41666666666663"/>
    <x v="3"/>
    <n v="18"/>
    <n v="1006"/>
    <n v="904"/>
  </r>
  <r>
    <d v="2020-05-26T00:00:00"/>
    <x v="9"/>
    <n v="14419.5"/>
    <x v="446"/>
    <n v="801.08333333333337"/>
    <x v="0"/>
    <n v="18"/>
    <n v="914"/>
    <n v="804"/>
  </r>
  <r>
    <d v="2020-06-01T00:00:00"/>
    <x v="0"/>
    <n v="7816.5"/>
    <x v="447"/>
    <n v="521.1"/>
    <x v="5"/>
    <n v="15"/>
    <n v="453"/>
    <n v="370"/>
  </r>
  <r>
    <d v="2020-05-31T00:00:00"/>
    <x v="16"/>
    <n v="6409.5"/>
    <x v="448"/>
    <n v="712.16666666666663"/>
    <x v="0"/>
    <n v="9"/>
    <n v="345"/>
    <n v="255"/>
  </r>
  <r>
    <d v="2020-05-30T00:00:00"/>
    <x v="15"/>
    <n v="11220"/>
    <x v="449"/>
    <n v="1602.8571428571429"/>
    <x v="0"/>
    <n v="7"/>
    <n v="532"/>
    <n v="449"/>
  </r>
  <r>
    <d v="2020-05-29T00:00:00"/>
    <x v="0"/>
    <n v="8350.5"/>
    <x v="450"/>
    <n v="556.70000000000005"/>
    <x v="0"/>
    <n v="15"/>
    <n v="400"/>
    <n v="329"/>
  </r>
  <r>
    <d v="2020-05-28T00:00:00"/>
    <x v="15"/>
    <n v="8428.5"/>
    <x v="451"/>
    <n v="1204.0714285714287"/>
    <x v="0"/>
    <n v="7"/>
    <n v="420"/>
    <n v="347"/>
  </r>
  <r>
    <d v="2020-05-27T00:00:00"/>
    <x v="4"/>
    <n v="32817"/>
    <x v="452"/>
    <n v="1640.85"/>
    <x v="0"/>
    <n v="20"/>
    <n v="2079"/>
    <n v="1893"/>
  </r>
  <r>
    <d v="2020-05-31T00:00:00"/>
    <x v="17"/>
    <n v="5127"/>
    <x v="453"/>
    <n v="854.5"/>
    <x v="0"/>
    <n v="6"/>
    <n v="261"/>
    <n v="188"/>
  </r>
  <r>
    <d v="2020-05-30T00:00:00"/>
    <x v="9"/>
    <n v="20688"/>
    <x v="454"/>
    <n v="1149.3333333333333"/>
    <x v="0"/>
    <n v="18"/>
    <n v="1216"/>
    <n v="1101"/>
  </r>
  <r>
    <d v="2020-05-28T00:00:00"/>
    <x v="9"/>
    <n v="15678"/>
    <x v="455"/>
    <n v="871"/>
    <x v="0"/>
    <n v="18"/>
    <n v="1020"/>
    <n v="911"/>
  </r>
  <r>
    <d v="2020-06-01T00:00:00"/>
    <x v="4"/>
    <n v="31947"/>
    <x v="456"/>
    <n v="1521.2857142857142"/>
    <x v="5"/>
    <n v="21"/>
    <n v="2025"/>
    <n v="1849"/>
  </r>
  <r>
    <d v="2020-05-31T00:00:00"/>
    <x v="15"/>
    <n v="10416"/>
    <x v="457"/>
    <n v="1488"/>
    <x v="0"/>
    <n v="7"/>
    <n v="530"/>
    <n v="447"/>
  </r>
  <r>
    <d v="2020-05-29T00:00:00"/>
    <x v="4"/>
    <n v="35431.5"/>
    <x v="458"/>
    <n v="1771.575"/>
    <x v="0"/>
    <n v="20"/>
    <n v="2111"/>
    <n v="1917"/>
  </r>
  <r>
    <d v="2020-05-27T00:00:00"/>
    <x v="2"/>
    <n v="78544.5"/>
    <x v="459"/>
    <n v="2533.6935483870966"/>
    <x v="0"/>
    <n v="31"/>
    <n v="5330"/>
    <n v="4977"/>
  </r>
  <r>
    <d v="2020-06-01T00:00:00"/>
    <x v="2"/>
    <n v="77269.5"/>
    <x v="460"/>
    <n v="2492.5645161290322"/>
    <x v="5"/>
    <n v="31"/>
    <n v="5468"/>
    <n v="5081"/>
  </r>
  <r>
    <d v="2020-05-31T00:00:00"/>
    <x v="9"/>
    <n v="16143"/>
    <x v="461"/>
    <n v="896.83333333333337"/>
    <x v="0"/>
    <n v="18"/>
    <n v="1029"/>
    <n v="925"/>
  </r>
  <r>
    <d v="2020-05-27T00:00:00"/>
    <x v="13"/>
    <n v="12490.5"/>
    <x v="462"/>
    <n v="1249.05"/>
    <x v="0"/>
    <n v="10"/>
    <n v="757"/>
    <n v="660"/>
  </r>
  <r>
    <d v="2020-06-01T00:00:00"/>
    <x v="13"/>
    <n v="11416.5"/>
    <x v="463"/>
    <n v="1141.6500000000001"/>
    <x v="5"/>
    <n v="10"/>
    <n v="719"/>
    <n v="627"/>
  </r>
  <r>
    <d v="2020-05-27T00:00:00"/>
    <x v="1"/>
    <n v="69010.5"/>
    <x v="464"/>
    <n v="1916.9583333333333"/>
    <x v="0"/>
    <n v="36"/>
    <n v="4951"/>
    <n v="4584"/>
  </r>
  <r>
    <d v="2020-05-29T00:00:00"/>
    <x v="2"/>
    <n v="87552"/>
    <x v="465"/>
    <n v="2824.2580645161293"/>
    <x v="0"/>
    <n v="31"/>
    <n v="5751"/>
    <n v="5319"/>
  </r>
  <r>
    <d v="2020-05-27T00:00:00"/>
    <x v="3"/>
    <n v="40420.5"/>
    <x v="466"/>
    <n v="1924.7857142857142"/>
    <x v="0"/>
    <n v="21"/>
    <n v="2430"/>
    <n v="2216"/>
  </r>
  <r>
    <d v="2020-05-27T00:00:00"/>
    <x v="5"/>
    <n v="28050"/>
    <x v="467"/>
    <n v="1402.5"/>
    <x v="0"/>
    <n v="20"/>
    <n v="1873"/>
    <n v="1715"/>
  </r>
  <r>
    <d v="2020-05-29T00:00:00"/>
    <x v="13"/>
    <n v="14823"/>
    <x v="468"/>
    <n v="1482.3"/>
    <x v="0"/>
    <n v="10"/>
    <n v="873"/>
    <n v="770"/>
  </r>
  <r>
    <d v="2020-05-27T00:00:00"/>
    <x v="6"/>
    <n v="203532"/>
    <x v="469"/>
    <n v="3769.1111111111113"/>
    <x v="0"/>
    <n v="54"/>
    <n v="13091"/>
    <n v="12216"/>
  </r>
  <r>
    <d v="2020-05-27T00:00:00"/>
    <x v="8"/>
    <n v="31257"/>
    <x v="470"/>
    <n v="1562.85"/>
    <x v="0"/>
    <n v="20"/>
    <n v="2079"/>
    <n v="1856"/>
  </r>
  <r>
    <d v="2020-05-27T00:00:00"/>
    <x v="7"/>
    <n v="215592"/>
    <x v="471"/>
    <n v="3654.101694915254"/>
    <x v="0"/>
    <n v="59"/>
    <n v="13942"/>
    <n v="12986"/>
  </r>
  <r>
    <d v="2020-06-01T00:00:00"/>
    <x v="8"/>
    <n v="32170.5"/>
    <x v="472"/>
    <n v="1608.5250000000001"/>
    <x v="5"/>
    <n v="20"/>
    <n v="2136"/>
    <n v="1899"/>
  </r>
  <r>
    <d v="2020-05-27T00:00:00"/>
    <x v="9"/>
    <n v="15276"/>
    <x v="473"/>
    <n v="848.66666666666663"/>
    <x v="0"/>
    <n v="18"/>
    <n v="962"/>
    <n v="859"/>
  </r>
  <r>
    <d v="2020-05-27T00:00:00"/>
    <x v="10"/>
    <n v="18069"/>
    <x v="474"/>
    <n v="1062.8823529411766"/>
    <x v="0"/>
    <n v="17"/>
    <n v="1203"/>
    <n v="1077"/>
  </r>
  <r>
    <d v="2020-05-27T00:00:00"/>
    <x v="14"/>
    <n v="13203"/>
    <x v="475"/>
    <n v="880.2"/>
    <x v="0"/>
    <n v="15"/>
    <n v="809"/>
    <n v="702"/>
  </r>
  <r>
    <d v="2020-05-27T00:00:00"/>
    <x v="11"/>
    <n v="370012.5"/>
    <x v="476"/>
    <n v="2983.9717741935483"/>
    <x v="0"/>
    <n v="124"/>
    <n v="21384"/>
    <n v="19897"/>
  </r>
  <r>
    <d v="2020-05-27T00:00:00"/>
    <x v="12"/>
    <n v="286558.5"/>
    <x v="477"/>
    <n v="2221.3837209302324"/>
    <x v="0"/>
    <n v="129"/>
    <n v="17115"/>
    <n v="15962"/>
  </r>
  <r>
    <d v="2020-05-29T00:00:00"/>
    <x v="8"/>
    <n v="35346"/>
    <x v="478"/>
    <n v="1767.3"/>
    <x v="0"/>
    <n v="20"/>
    <n v="2249"/>
    <n v="2000"/>
  </r>
  <r>
    <d v="2020-05-27T00:00:00"/>
    <x v="15"/>
    <n v="8362.5"/>
    <x v="479"/>
    <n v="1194.6428571428571"/>
    <x v="0"/>
    <n v="7"/>
    <n v="409"/>
    <n v="329"/>
  </r>
  <r>
    <d v="2020-06-01T00:00:00"/>
    <x v="12"/>
    <n v="272926.5"/>
    <x v="480"/>
    <n v="2132.23828125"/>
    <x v="5"/>
    <n v="128"/>
    <n v="16285"/>
    <n v="15130"/>
  </r>
  <r>
    <d v="2020-06-01T00:00:00"/>
    <x v="11"/>
    <n v="349699.5"/>
    <x v="481"/>
    <n v="2843.0853658536585"/>
    <x v="5"/>
    <n v="123"/>
    <n v="20325"/>
    <n v="18935"/>
  </r>
  <r>
    <d v="2020-05-29T00:00:00"/>
    <x v="12"/>
    <n v="422965.5"/>
    <x v="482"/>
    <n v="3278.8023255813955"/>
    <x v="0"/>
    <n v="129"/>
    <n v="22403"/>
    <n v="20676"/>
  </r>
  <r>
    <d v="2020-06-01T00:00:00"/>
    <x v="1"/>
    <n v="64740"/>
    <x v="483"/>
    <n v="1749.7297297297298"/>
    <x v="5"/>
    <n v="37"/>
    <n v="4722"/>
    <n v="4352"/>
  </r>
  <r>
    <d v="2020-05-29T00:00:00"/>
    <x v="1"/>
    <n v="84433.5"/>
    <x v="484"/>
    <n v="2281.9864864864867"/>
    <x v="0"/>
    <n v="37"/>
    <n v="5672"/>
    <n v="5198"/>
  </r>
  <r>
    <d v="2020-05-29T00:00:00"/>
    <x v="11"/>
    <n v="524481"/>
    <x v="485"/>
    <n v="4229.6854838709678"/>
    <x v="0"/>
    <n v="124"/>
    <n v="25828"/>
    <n v="23974"/>
  </r>
  <r>
    <d v="2020-05-29T00:00:00"/>
    <x v="3"/>
    <n v="44569.5"/>
    <x v="486"/>
    <n v="2025.8863636363637"/>
    <x v="0"/>
    <n v="22"/>
    <n v="2597"/>
    <n v="2379"/>
  </r>
  <r>
    <d v="2020-05-29T00:00:00"/>
    <x v="5"/>
    <n v="32782.5"/>
    <x v="487"/>
    <n v="1639.125"/>
    <x v="0"/>
    <n v="20"/>
    <n v="2064"/>
    <n v="1896"/>
  </r>
  <r>
    <d v="2020-05-29T00:00:00"/>
    <x v="6"/>
    <n v="226476"/>
    <x v="488"/>
    <n v="4194"/>
    <x v="0"/>
    <n v="54"/>
    <n v="14031"/>
    <n v="12943"/>
  </r>
  <r>
    <d v="2020-05-29T00:00:00"/>
    <x v="7"/>
    <n v="232102.5"/>
    <x v="489"/>
    <n v="3933.9406779661017"/>
    <x v="0"/>
    <n v="59"/>
    <n v="14507"/>
    <n v="13386"/>
  </r>
  <r>
    <d v="2020-06-01T00:00:00"/>
    <x v="3"/>
    <n v="40528.5"/>
    <x v="490"/>
    <n v="1762.108695652174"/>
    <x v="5"/>
    <n v="23"/>
    <n v="2531"/>
    <n v="2296"/>
  </r>
  <r>
    <d v="2020-05-29T00:00:00"/>
    <x v="9"/>
    <n v="16878"/>
    <x v="491"/>
    <n v="937.66666666666663"/>
    <x v="0"/>
    <n v="18"/>
    <n v="1014"/>
    <n v="893"/>
  </r>
  <r>
    <d v="2020-05-29T00:00:00"/>
    <x v="10"/>
    <n v="19647"/>
    <x v="492"/>
    <n v="1155.7058823529412"/>
    <x v="0"/>
    <n v="17"/>
    <n v="1296"/>
    <n v="1153"/>
  </r>
  <r>
    <d v="2020-05-29T00:00:00"/>
    <x v="14"/>
    <n v="17052"/>
    <x v="493"/>
    <n v="1065.75"/>
    <x v="0"/>
    <n v="16"/>
    <n v="981"/>
    <n v="859"/>
  </r>
  <r>
    <d v="2020-05-29T00:00:00"/>
    <x v="15"/>
    <n v="9927"/>
    <x v="494"/>
    <n v="1418.1428571428571"/>
    <x v="0"/>
    <n v="7"/>
    <n v="491"/>
    <n v="411"/>
  </r>
  <r>
    <d v="2020-06-01T00:00:00"/>
    <x v="10"/>
    <n v="16687.5"/>
    <x v="495"/>
    <n v="981.61764705882354"/>
    <x v="5"/>
    <n v="17"/>
    <n v="1185"/>
    <n v="1042"/>
  </r>
  <r>
    <d v="2020-06-01T00:00:00"/>
    <x v="14"/>
    <n v="16476"/>
    <x v="496"/>
    <n v="1029.75"/>
    <x v="5"/>
    <n v="16"/>
    <n v="1019"/>
    <n v="895"/>
  </r>
  <r>
    <d v="2020-06-01T00:00:00"/>
    <x v="5"/>
    <n v="27960"/>
    <x v="497"/>
    <n v="1331.4285714285713"/>
    <x v="5"/>
    <n v="21"/>
    <n v="1879"/>
    <n v="1720"/>
  </r>
  <r>
    <d v="2020-06-01T00:00:00"/>
    <x v="7"/>
    <n v="188776.5"/>
    <x v="498"/>
    <n v="3199.601694915254"/>
    <x v="5"/>
    <n v="59"/>
    <n v="12299"/>
    <n v="11448"/>
  </r>
  <r>
    <d v="2020-06-01T00:00:00"/>
    <x v="6"/>
    <n v="183228"/>
    <x v="499"/>
    <n v="3393.1111111111113"/>
    <x v="5"/>
    <n v="54"/>
    <n v="11864"/>
    <n v="11071"/>
  </r>
  <r>
    <d v="2020-06-01T00:00:00"/>
    <x v="16"/>
    <n v="5166"/>
    <x v="500"/>
    <n v="574"/>
    <x v="5"/>
    <n v="9"/>
    <n v="294"/>
    <n v="224"/>
  </r>
  <r>
    <d v="2020-06-01T00:00:00"/>
    <x v="9"/>
    <n v="14238"/>
    <x v="501"/>
    <n v="791"/>
    <x v="5"/>
    <n v="18"/>
    <n v="923"/>
    <n v="824"/>
  </r>
  <r>
    <d v="2020-06-01T00:00:00"/>
    <x v="17"/>
    <n v="4408.5"/>
    <x v="502"/>
    <n v="734.75"/>
    <x v="5"/>
    <n v="6"/>
    <n v="237"/>
    <n v="175"/>
  </r>
  <r>
    <d v="2020-06-01T00:00:00"/>
    <x v="15"/>
    <n v="9474"/>
    <x v="503"/>
    <n v="1353.4285714285713"/>
    <x v="5"/>
    <n v="7"/>
    <n v="500"/>
    <n v="4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D78026-9F90-40F8-B5DA-E9765FB649B0}" name="Сводная таблица1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8">
  <location ref="A3:E22" firstHeaderRow="0" firstDataRow="1" firstDataCol="1" rowPageCount="1" colPageCount="1"/>
  <pivotFields count="9">
    <pivotField numFmtId="22" showAll="0"/>
    <pivotField axis="axisRow" showAll="0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  <pivotField dataField="1" numFmtId="166" showAll="0"/>
    <pivotField axis="axisPage"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showAll="0"/>
  </pivotFields>
  <rowFields count="1">
    <field x="1"/>
  </rowFields>
  <rowItems count="19">
    <i>
      <x v="12"/>
    </i>
    <i>
      <x v="13"/>
    </i>
    <i>
      <x v="6"/>
    </i>
    <i>
      <x v="5"/>
    </i>
    <i>
      <x v="1"/>
    </i>
    <i>
      <x/>
    </i>
    <i>
      <x v="2"/>
    </i>
    <i>
      <x v="7"/>
    </i>
    <i>
      <x v="3"/>
    </i>
    <i>
      <x v="4"/>
    </i>
    <i>
      <x v="10"/>
    </i>
    <i>
      <x v="9"/>
    </i>
    <i>
      <x v="8"/>
    </i>
    <i>
      <x v="14"/>
    </i>
    <i>
      <x v="16"/>
    </i>
    <i>
      <x v="11"/>
    </i>
    <i>
      <x v="17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5" item="5" hier="-1"/>
  </pageFields>
  <dataFields count="4">
    <dataField name="Общая сумма товарооборота" fld="3" baseField="1" baseItem="0"/>
    <dataField name="Доля от итоговой суммы " fld="3" showDataAs="percentOfTotal" baseField="1" baseItem="0" numFmtId="10"/>
    <dataField name="Общий товарооборот, шт " fld="2" baseField="1" baseItem="0"/>
    <dataField name="Сумма товарооборота на склад" fld="4" baseField="1" baseItem="0" numFmtId="166"/>
  </dataFields>
  <formats count="2">
    <format dxfId="5">
      <pivotArea collapsedLevelsAreSubtotals="1" fieldPosition="0">
        <references count="1">
          <reference field="1" count="0"/>
        </references>
      </pivotArea>
    </format>
    <format dxfId="6">
      <pivotArea dataOnly="0" labelOnly="1" fieldPosition="0">
        <references count="1">
          <reference field="1" count="0"/>
        </references>
      </pivotArea>
    </format>
  </formats>
  <conditionalFormats count="2">
    <conditionalFormat type="all" priority="4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1" count="18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BF273-AFD6-4022-99EE-7004093DF67F}" name="Сводная таблица2" cacheId="6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22">
  <location ref="A3:C10" firstHeaderRow="0" firstDataRow="1" firstDataCol="1" rowPageCount="1" colPageCount="1"/>
  <pivotFields count="9">
    <pivotField numFmtId="22" showAll="0"/>
    <pivotField axis="axisPage" multipleItemSelectionAllowed="1" showAll="0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showAll="0"/>
    <pivotField dataField="1" showAll="0">
      <items count="505">
        <item x="500"/>
        <item x="69"/>
        <item x="502"/>
        <item x="117"/>
        <item x="453"/>
        <item x="448"/>
        <item x="93"/>
        <item x="161"/>
        <item x="109"/>
        <item x="0"/>
        <item x="447"/>
        <item x="125"/>
        <item x="4"/>
        <item x="450"/>
        <item x="140"/>
        <item x="479"/>
        <item x="182"/>
        <item x="451"/>
        <item x="128"/>
        <item x="75"/>
        <item x="106"/>
        <item x="114"/>
        <item x="294"/>
        <item x="202"/>
        <item x="221"/>
        <item x="2"/>
        <item x="120"/>
        <item x="49"/>
        <item x="238"/>
        <item x="503"/>
        <item x="136"/>
        <item x="113"/>
        <item x="143"/>
        <item x="443"/>
        <item x="103"/>
        <item x="494"/>
        <item x="141"/>
        <item x="122"/>
        <item x="457"/>
        <item x="25"/>
        <item x="286"/>
        <item x="99"/>
        <item x="158"/>
        <item x="449"/>
        <item x="116"/>
        <item x="400"/>
        <item x="102"/>
        <item x="320"/>
        <item x="252"/>
        <item x="139"/>
        <item x="337"/>
        <item x="217"/>
        <item x="41"/>
        <item x="340"/>
        <item x="111"/>
        <item x="306"/>
        <item x="17"/>
        <item x="66"/>
        <item x="137"/>
        <item x="463"/>
        <item x="199"/>
        <item x="134"/>
        <item x="118"/>
        <item x="145"/>
        <item x="105"/>
        <item x="236"/>
        <item x="115"/>
        <item x="462"/>
        <item x="355"/>
        <item x="290"/>
        <item x="256"/>
        <item x="160"/>
        <item x="354"/>
        <item x="302"/>
        <item x="288"/>
        <item x="19"/>
        <item x="67"/>
        <item x="362"/>
        <item x="363"/>
        <item x="148"/>
        <item x="396"/>
        <item x="43"/>
        <item x="138"/>
        <item x="357"/>
        <item x="304"/>
        <item x="219"/>
        <item x="407"/>
        <item x="100"/>
        <item x="335"/>
        <item x="90"/>
        <item x="178"/>
        <item x="360"/>
        <item x="361"/>
        <item x="378"/>
        <item x="417"/>
        <item x="316"/>
        <item x="374"/>
        <item x="271"/>
        <item x="446"/>
        <item x="475"/>
        <item x="351"/>
        <item x="268"/>
        <item x="412"/>
        <item x="200"/>
        <item x="254"/>
        <item x="336"/>
        <item x="372"/>
        <item x="392"/>
        <item x="395"/>
        <item x="130"/>
        <item x="318"/>
        <item x="394"/>
        <item x="146"/>
        <item x="237"/>
        <item x="468"/>
        <item x="501"/>
        <item x="370"/>
        <item x="368"/>
        <item x="444"/>
        <item x="387"/>
        <item x="473"/>
        <item x="322"/>
        <item x="356"/>
        <item x="323"/>
        <item x="332"/>
        <item x="180"/>
        <item x="445"/>
        <item x="455"/>
        <item x="431"/>
        <item x="353"/>
        <item x="434"/>
        <item x="461"/>
        <item x="334"/>
        <item x="491"/>
        <item x="437"/>
        <item x="442"/>
        <item x="91"/>
        <item x="269"/>
        <item x="371"/>
        <item x="328"/>
        <item x="343"/>
        <item x="495"/>
        <item x="349"/>
        <item x="493"/>
        <item x="496"/>
        <item x="367"/>
        <item x="321"/>
        <item x="474"/>
        <item x="390"/>
        <item x="107"/>
        <item x="492"/>
        <item x="454"/>
        <item x="433"/>
        <item x="112"/>
        <item x="341"/>
        <item x="129"/>
        <item x="167"/>
        <item x="15"/>
        <item x="153"/>
        <item x="195"/>
        <item x="281"/>
        <item x="135"/>
        <item x="381"/>
        <item x="329"/>
        <item x="171"/>
        <item x="230"/>
        <item x="297"/>
        <item x="311"/>
        <item x="64"/>
        <item x="179"/>
        <item x="9"/>
        <item x="211"/>
        <item x="386"/>
        <item x="181"/>
        <item x="33"/>
        <item x="162"/>
        <item x="14"/>
        <item x="169"/>
        <item x="88"/>
        <item x="172"/>
        <item x="248"/>
        <item x="39"/>
        <item x="379"/>
        <item x="7"/>
        <item x="34"/>
        <item x="373"/>
        <item x="333"/>
        <item x="377"/>
        <item x="156"/>
        <item x="369"/>
        <item x="467"/>
        <item x="104"/>
        <item x="48"/>
        <item x="347"/>
        <item x="280"/>
        <item x="397"/>
        <item x="383"/>
        <item x="401"/>
        <item x="497"/>
        <item x="424"/>
        <item x="406"/>
        <item x="58"/>
        <item x="391"/>
        <item x="24"/>
        <item x="16"/>
        <item x="31"/>
        <item x="32"/>
        <item x="46"/>
        <item x="170"/>
        <item x="166"/>
        <item x="152"/>
        <item x="327"/>
        <item x="18"/>
        <item x="126"/>
        <item x="192"/>
        <item x="26"/>
        <item x="262"/>
        <item x="8"/>
        <item x="402"/>
        <item x="42"/>
        <item x="150"/>
        <item x="385"/>
        <item x="56"/>
        <item x="12"/>
        <item x="164"/>
        <item x="55"/>
        <item x="487"/>
        <item x="177"/>
        <item x="5"/>
        <item x="151"/>
        <item x="175"/>
        <item x="10"/>
        <item x="154"/>
        <item x="30"/>
        <item x="159"/>
        <item x="183"/>
        <item x="364"/>
        <item x="470"/>
        <item x="50"/>
        <item x="28"/>
        <item x="209"/>
        <item x="36"/>
        <item x="456"/>
        <item x="352"/>
        <item x="20"/>
        <item x="185"/>
        <item x="188"/>
        <item x="404"/>
        <item x="472"/>
        <item x="452"/>
        <item x="22"/>
        <item x="346"/>
        <item x="278"/>
        <item x="296"/>
        <item x="245"/>
        <item x="393"/>
        <item x="423"/>
        <item x="326"/>
        <item x="82"/>
        <item x="40"/>
        <item x="291"/>
        <item x="458"/>
        <item x="228"/>
        <item x="149"/>
        <item x="478"/>
        <item x="303"/>
        <item x="44"/>
        <item x="384"/>
        <item x="173"/>
        <item x="6"/>
        <item x="429"/>
        <item x="314"/>
        <item x="52"/>
        <item x="260"/>
        <item x="289"/>
        <item x="310"/>
        <item x="38"/>
        <item x="187"/>
        <item x="295"/>
        <item x="345"/>
        <item x="466"/>
        <item x="298"/>
        <item x="490"/>
        <item x="308"/>
        <item x="319"/>
        <item x="284"/>
        <item x="300"/>
        <item x="54"/>
        <item x="315"/>
        <item x="287"/>
        <item x="486"/>
        <item x="101"/>
        <item x="80"/>
        <item x="317"/>
        <item x="421"/>
        <item x="274"/>
        <item x="227"/>
        <item x="324"/>
        <item x="189"/>
        <item x="263"/>
        <item x="68"/>
        <item x="147"/>
        <item x="279"/>
        <item x="168"/>
        <item x="380"/>
        <item x="483"/>
        <item x="265"/>
        <item x="261"/>
        <item x="419"/>
        <item x="258"/>
        <item x="464"/>
        <item x="325"/>
        <item x="285"/>
        <item x="309"/>
        <item x="85"/>
        <item x="257"/>
        <item x="207"/>
        <item x="123"/>
        <item x="63"/>
        <item x="1"/>
        <item x="94"/>
        <item x="342"/>
        <item x="270"/>
        <item x="74"/>
        <item x="276"/>
        <item x="98"/>
        <item x="27"/>
        <item x="305"/>
        <item x="96"/>
        <item x="382"/>
        <item x="76"/>
        <item x="132"/>
        <item x="65"/>
        <item x="89"/>
        <item x="255"/>
        <item x="70"/>
        <item x="459"/>
        <item x="61"/>
        <item x="59"/>
        <item x="51"/>
        <item x="460"/>
        <item x="344"/>
        <item x="79"/>
        <item x="81"/>
        <item x="83"/>
        <item x="53"/>
        <item x="77"/>
        <item x="267"/>
        <item x="3"/>
        <item x="275"/>
        <item x="29"/>
        <item x="484"/>
        <item x="78"/>
        <item x="243"/>
        <item x="465"/>
        <item x="92"/>
        <item x="124"/>
        <item x="57"/>
        <item x="259"/>
        <item x="420"/>
        <item x="87"/>
        <item x="72"/>
        <item x="307"/>
        <item x="127"/>
        <item x="282"/>
        <item x="283"/>
        <item x="249"/>
        <item x="375"/>
        <item x="108"/>
        <item x="330"/>
        <item x="299"/>
        <item x="312"/>
        <item x="499"/>
        <item x="438"/>
        <item x="301"/>
        <item x="251"/>
        <item x="313"/>
        <item x="498"/>
        <item x="376"/>
        <item x="441"/>
        <item x="110"/>
        <item x="432"/>
        <item x="388"/>
        <item x="331"/>
        <item x="415"/>
        <item x="11"/>
        <item x="389"/>
        <item x="430"/>
        <item x="414"/>
        <item x="403"/>
        <item x="439"/>
        <item x="426"/>
        <item x="35"/>
        <item x="174"/>
        <item x="469"/>
        <item x="416"/>
        <item x="13"/>
        <item x="411"/>
        <item x="213"/>
        <item x="422"/>
        <item x="37"/>
        <item x="60"/>
        <item x="348"/>
        <item x="176"/>
        <item x="405"/>
        <item x="410"/>
        <item x="196"/>
        <item x="409"/>
        <item x="471"/>
        <item x="365"/>
        <item x="427"/>
        <item x="488"/>
        <item x="214"/>
        <item x="62"/>
        <item x="155"/>
        <item x="231"/>
        <item x="197"/>
        <item x="350"/>
        <item x="489"/>
        <item x="264"/>
        <item x="366"/>
        <item x="418"/>
        <item x="233"/>
        <item x="84"/>
        <item x="440"/>
        <item x="157"/>
        <item x="121"/>
        <item x="425"/>
        <item x="293"/>
        <item x="266"/>
        <item x="408"/>
        <item x="218"/>
        <item x="86"/>
        <item x="131"/>
        <item x="208"/>
        <item x="133"/>
        <item x="193"/>
        <item x="428"/>
        <item x="191"/>
        <item x="212"/>
        <item x="186"/>
        <item x="399"/>
        <item x="480"/>
        <item x="203"/>
        <item x="198"/>
        <item x="246"/>
        <item x="339"/>
        <item x="220"/>
        <item x="144"/>
        <item x="413"/>
        <item x="206"/>
        <item x="201"/>
        <item x="23"/>
        <item x="477"/>
        <item x="241"/>
        <item x="165"/>
        <item x="205"/>
        <item x="436"/>
        <item x="215"/>
        <item x="194"/>
        <item x="47"/>
        <item x="97"/>
        <item x="119"/>
        <item x="190"/>
        <item x="359"/>
        <item x="73"/>
        <item x="223"/>
        <item x="292"/>
        <item x="210"/>
        <item x="184"/>
        <item x="242"/>
        <item x="142"/>
        <item x="225"/>
        <item x="398"/>
        <item x="247"/>
        <item x="224"/>
        <item x="239"/>
        <item x="481"/>
        <item x="234"/>
        <item x="277"/>
        <item x="338"/>
        <item x="216"/>
        <item x="204"/>
        <item x="253"/>
        <item x="229"/>
        <item x="163"/>
        <item x="226"/>
        <item x="250"/>
        <item x="476"/>
        <item x="272"/>
        <item x="435"/>
        <item x="232"/>
        <item x="235"/>
        <item x="21"/>
        <item x="95"/>
        <item x="45"/>
        <item x="482"/>
        <item x="358"/>
        <item x="222"/>
        <item x="71"/>
        <item x="273"/>
        <item x="244"/>
        <item x="240"/>
        <item x="485"/>
        <item t="default"/>
      </items>
    </pivotField>
    <pivotField dataField="1" numFmtId="166" showAll="0"/>
    <pivotField axis="axisRow" showAll="0">
      <items count="7">
        <item x="1"/>
        <item x="4"/>
        <item x="2"/>
        <item x="3"/>
        <item x="0"/>
        <item x="5"/>
        <item t="default"/>
      </items>
    </pivotField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Сумма товарооборота, руб" fld="3" baseField="1" baseItem="0"/>
    <dataField name="Сумма товарооборота на склад" fld="4" baseField="5" baseItem="0" numFmtId="166"/>
  </dataFields>
  <formats count="5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Page" fieldPosition="0"/>
    </format>
    <format dxfId="3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0CEEF3AF-1ACC-42F8-A193-956345E0664C}" autoFormatId="16" applyNumberFormats="0" applyBorderFormats="0" applyFontFormats="0" applyPatternFormats="0" applyAlignmentFormats="0" applyWidthHeightFormats="0">
  <queryTableRefresh nextId="15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8" name="Товарооборот на склад" tableColumnId="8"/>
      <queryTableField id="9" name="Неделя" tableColumnId="9"/>
      <queryTableField id="12" name="Количество складов.1" tableColumnId="12"/>
      <queryTableField id="13" name="Количество заказов.1" tableColumnId="13"/>
      <queryTableField id="14" name="Количество клиентов.1" tableColumnId="14"/>
    </queryTableFields>
    <queryTableDeletedFields count="5">
      <deletedField name="Количество складов"/>
      <deletedField name="Количество заказов"/>
      <deletedField name="Количество клиентов"/>
      <deletedField name="Дата.1"/>
      <deletedField name="Территория.1"/>
    </queryTableDeleted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7F85EF8-E664-438E-8484-2F62EF38C453}" name="Таблица2" displayName="Таблица2" ref="A1:I505" totalsRowShown="0" headerRowDxfId="13" dataDxfId="14" tableBorderDxfId="22">
  <autoFilter ref="A1:I505" xr:uid="{C7F85EF8-E664-438E-8484-2F62EF38C453}"/>
  <tableColumns count="9">
    <tableColumn id="1" xr3:uid="{8A6793EB-F573-4981-9F65-540FD3BA425D}" name="Дата" dataDxfId="21"/>
    <tableColumn id="2" xr3:uid="{FC36D4D1-3781-41A2-A467-7F5F2CB6F00E}" name="Территория" dataDxfId="20"/>
    <tableColumn id="3" xr3:uid="{8BA909B3-2325-40B3-A058-5AC3584CAA75}" name="Товарооборот, шт" dataDxfId="19"/>
    <tableColumn id="4" xr3:uid="{63DA4E2E-DAE1-42F0-AD84-14ACCE7592E0}" name="Товарооборот, руб" dataDxfId="18"/>
    <tableColumn id="5" xr3:uid="{5BDAD69C-D267-4629-9363-768730E0D343}" name="Количество складов" dataDxfId="17"/>
    <tableColumn id="6" xr3:uid="{990EBC7A-0DF8-46BB-82C1-21AD3AEEEA9F}" name="Количество заказов" dataDxfId="16"/>
    <tableColumn id="7" xr3:uid="{DE0A6BA5-9ABE-4316-9EA0-54D11A9E0317}" name="Количество клиентов" dataDxfId="15"/>
    <tableColumn id="8" xr3:uid="{8858817B-2678-427C-AAA0-106984407FF3}" name="Товарооборот на склад"/>
    <tableColumn id="9" xr3:uid="{411DB6AB-4C39-4E95-9C0B-EA14ED72C74E}" name="Недел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10C28-3EDC-47B9-B224-6A01B407D91D}" name="Таблица1" displayName="Таблица1" ref="A1:E505" totalsRowShown="0" headerRowDxfId="23" dataDxfId="24" headerRowBorderDxfId="30" tableBorderDxfId="31">
  <autoFilter ref="A1:E505" xr:uid="{D0A10C28-3EDC-47B9-B224-6A01B407D91D}"/>
  <tableColumns count="5">
    <tableColumn id="1" xr3:uid="{F65BCE09-033C-4F4B-AEA0-EA0D7681D4A2}" name="Дата" dataDxfId="29"/>
    <tableColumn id="2" xr3:uid="{452F05FF-442B-4D79-B549-C07E1B15B577}" name="Территория" dataDxfId="28"/>
    <tableColumn id="3" xr3:uid="{11F3D813-83F6-4137-9869-90D3EF4024B2}" name="Количество складов" dataDxfId="27"/>
    <tableColumn id="4" xr3:uid="{5ECF4DC2-700E-497E-A0F8-5644434B89A2}" name="Количество заказов" dataDxfId="26"/>
    <tableColumn id="5" xr3:uid="{F4837058-8DD3-41CD-A039-0CD5E5556E7B}" name="Количество клиентов" dataDxfId="2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383CE8A-8E6C-4E24-9F95-0917E399EA27}" name="Слияние1" displayName="Слияние1" ref="A1:I505" tableType="queryTable" totalsRowShown="0">
  <autoFilter ref="A1:I505" xr:uid="{5383CE8A-8E6C-4E24-9F95-0917E399EA27}"/>
  <tableColumns count="9">
    <tableColumn id="1" xr3:uid="{A2687797-6673-466A-8C68-58D6443D708A}" uniqueName="1" name="Дата" queryTableFieldId="1" dataDxfId="12"/>
    <tableColumn id="2" xr3:uid="{5FE21CE3-0BF5-49BD-8B89-8728799D6F36}" uniqueName="2" name="Территория" queryTableFieldId="2" dataDxfId="11"/>
    <tableColumn id="3" xr3:uid="{A5A82BFC-ADB2-4E1F-AACE-5CD4ABC06A3E}" uniqueName="3" name="Товарооборот, шт" queryTableFieldId="3"/>
    <tableColumn id="4" xr3:uid="{4F056C2D-B4E7-4826-89F8-99EEEB6B5B6B}" uniqueName="4" name="Товарооборот, руб" queryTableFieldId="4"/>
    <tableColumn id="8" xr3:uid="{C6340881-65B4-4AEC-A3C7-4A7FAC8C32EA}" uniqueName="8" name="Товарооборот на склад" queryTableFieldId="8"/>
    <tableColumn id="9" xr3:uid="{0CC2CC46-D2A8-4C70-BF4D-13FB90FA599B}" uniqueName="9" name="Неделя" queryTableFieldId="9"/>
    <tableColumn id="12" xr3:uid="{2152C2AB-1E10-42CC-B3D0-66D0E61BCBE6}" uniqueName="12" name="Количество складов" queryTableFieldId="12"/>
    <tableColumn id="13" xr3:uid="{62CF5622-77C4-44C7-B305-7A006945874F}" uniqueName="13" name="Количество заказов" queryTableFieldId="13"/>
    <tableColumn id="14" xr3:uid="{E01E0BF8-E43F-4467-ABB6-C7B416E9989D}" uniqueName="14" name="Количество клиентов" queryTableField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workbookViewId="0">
      <selection activeCell="B7" sqref="B7"/>
    </sheetView>
  </sheetViews>
  <sheetFormatPr defaultColWidth="14.3984375" defaultRowHeight="15" customHeight="1" x14ac:dyDescent="0.45"/>
  <cols>
    <col min="1" max="1" width="10.3984375" customWidth="1"/>
    <col min="2" max="2" width="21.73046875" customWidth="1"/>
    <col min="3" max="3" width="22" customWidth="1"/>
    <col min="4" max="4" width="20.265625" customWidth="1"/>
    <col min="5" max="7" width="22" customWidth="1"/>
    <col min="8" max="8" width="23.3984375" customWidth="1"/>
    <col min="9" max="9" width="8.86328125" customWidth="1"/>
    <col min="10" max="24" width="8.73046875" customWidth="1"/>
  </cols>
  <sheetData>
    <row r="1" spans="1:24" ht="14.25" customHeight="1" x14ac:dyDescent="0.45">
      <c r="A1" s="11" t="s">
        <v>0</v>
      </c>
      <c r="B1" s="11" t="s">
        <v>1</v>
      </c>
      <c r="C1" s="11" t="s">
        <v>2</v>
      </c>
      <c r="D1" s="11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4.25" customHeight="1" x14ac:dyDescent="0.45">
      <c r="A2" s="8">
        <v>43982</v>
      </c>
      <c r="B2" s="2" t="s">
        <v>9</v>
      </c>
      <c r="C2" s="2">
        <v>7944</v>
      </c>
      <c r="D2" s="2">
        <v>623971.5</v>
      </c>
      <c r="E2" s="3"/>
      <c r="F2" s="3"/>
      <c r="G2" s="3"/>
    </row>
    <row r="3" spans="1:24" ht="14.25" customHeight="1" x14ac:dyDescent="0.45">
      <c r="A3" s="9">
        <v>43981</v>
      </c>
      <c r="B3" s="4" t="s">
        <v>9</v>
      </c>
      <c r="C3" s="4">
        <v>10029</v>
      </c>
      <c r="D3" s="4">
        <v>787101</v>
      </c>
      <c r="E3" s="3"/>
      <c r="F3" s="3"/>
      <c r="G3" s="3"/>
    </row>
    <row r="4" spans="1:24" ht="14.25" customHeight="1" x14ac:dyDescent="0.45">
      <c r="A4" s="8">
        <v>43979</v>
      </c>
      <c r="B4" s="2" t="s">
        <v>9</v>
      </c>
      <c r="C4" s="2">
        <v>8536.5</v>
      </c>
      <c r="D4" s="2">
        <v>643944</v>
      </c>
      <c r="E4" s="3"/>
      <c r="F4" s="3"/>
      <c r="G4" s="3"/>
    </row>
    <row r="5" spans="1:24" ht="14.25" customHeight="1" x14ac:dyDescent="0.45">
      <c r="A5" s="9">
        <v>43967</v>
      </c>
      <c r="B5" s="4" t="s">
        <v>10</v>
      </c>
      <c r="C5" s="4">
        <v>38947.5</v>
      </c>
      <c r="D5" s="4">
        <v>3395892</v>
      </c>
      <c r="E5" s="3"/>
      <c r="F5" s="3"/>
      <c r="G5" s="3"/>
    </row>
    <row r="6" spans="1:24" ht="14.25" customHeight="1" x14ac:dyDescent="0.45">
      <c r="A6" s="8">
        <v>43970</v>
      </c>
      <c r="B6" s="2" t="s">
        <v>10</v>
      </c>
      <c r="C6" s="2">
        <v>31842</v>
      </c>
      <c r="D6" s="2">
        <v>2771116.5</v>
      </c>
      <c r="E6" s="3"/>
      <c r="F6" s="3"/>
      <c r="G6" s="3"/>
    </row>
    <row r="7" spans="1:24" ht="14.25" customHeight="1" x14ac:dyDescent="0.45">
      <c r="A7" s="9">
        <v>43968</v>
      </c>
      <c r="B7" s="4" t="s">
        <v>10</v>
      </c>
      <c r="C7" s="4">
        <v>32023.5</v>
      </c>
      <c r="D7" s="4">
        <v>2882458.5</v>
      </c>
      <c r="E7" s="3"/>
      <c r="F7" s="3"/>
      <c r="G7" s="3"/>
    </row>
    <row r="8" spans="1:24" ht="14.25" customHeight="1" x14ac:dyDescent="0.45">
      <c r="A8" s="8">
        <v>43960</v>
      </c>
      <c r="B8" s="2" t="s">
        <v>10</v>
      </c>
      <c r="C8" s="2">
        <v>31147.5</v>
      </c>
      <c r="D8" s="2">
        <v>2831019</v>
      </c>
      <c r="E8" s="3"/>
      <c r="F8" s="3"/>
      <c r="G8" s="3"/>
    </row>
    <row r="9" spans="1:24" ht="14.25" customHeight="1" x14ac:dyDescent="0.45">
      <c r="A9" s="9">
        <v>43955</v>
      </c>
      <c r="B9" s="4" t="s">
        <v>10</v>
      </c>
      <c r="C9" s="4">
        <v>25566</v>
      </c>
      <c r="D9" s="4">
        <v>2372310</v>
      </c>
      <c r="E9" s="3"/>
      <c r="F9" s="3"/>
      <c r="G9" s="3"/>
    </row>
    <row r="10" spans="1:24" ht="14.25" customHeight="1" x14ac:dyDescent="0.45">
      <c r="A10" s="8">
        <v>43950</v>
      </c>
      <c r="B10" s="2" t="s">
        <v>10</v>
      </c>
      <c r="C10" s="2">
        <v>29319</v>
      </c>
      <c r="D10" s="2">
        <v>2623480.5</v>
      </c>
      <c r="E10" s="3"/>
      <c r="F10" s="3"/>
      <c r="G10" s="3"/>
    </row>
    <row r="11" spans="1:24" ht="14.25" customHeight="1" x14ac:dyDescent="0.45">
      <c r="A11" s="9">
        <v>43953</v>
      </c>
      <c r="B11" s="4" t="s">
        <v>10</v>
      </c>
      <c r="C11" s="4">
        <v>29031</v>
      </c>
      <c r="D11" s="4">
        <v>2711247</v>
      </c>
      <c r="E11" s="3"/>
      <c r="F11" s="3"/>
      <c r="G11" s="3"/>
    </row>
    <row r="12" spans="1:24" ht="14.25" customHeight="1" x14ac:dyDescent="0.45">
      <c r="A12" s="8">
        <v>43977</v>
      </c>
      <c r="B12" s="2" t="s">
        <v>10</v>
      </c>
      <c r="C12" s="2">
        <v>33423</v>
      </c>
      <c r="D12" s="2">
        <v>2970330</v>
      </c>
      <c r="E12" s="3"/>
      <c r="F12" s="3"/>
      <c r="G12" s="3"/>
    </row>
    <row r="13" spans="1:24" ht="14.25" customHeight="1" x14ac:dyDescent="0.45">
      <c r="A13" s="9">
        <v>43952</v>
      </c>
      <c r="B13" s="4" t="s">
        <v>10</v>
      </c>
      <c r="C13" s="4">
        <v>32487</v>
      </c>
      <c r="D13" s="4">
        <v>3031254</v>
      </c>
      <c r="E13" s="3"/>
      <c r="F13" s="3"/>
      <c r="G13" s="3"/>
    </row>
    <row r="14" spans="1:24" ht="14.25" customHeight="1" x14ac:dyDescent="0.45">
      <c r="A14" s="8">
        <v>43963</v>
      </c>
      <c r="B14" s="2" t="s">
        <v>10</v>
      </c>
      <c r="C14" s="2">
        <v>28219.5</v>
      </c>
      <c r="D14" s="2">
        <v>2595778.5</v>
      </c>
      <c r="E14" s="3"/>
      <c r="F14" s="3"/>
      <c r="G14" s="3"/>
    </row>
    <row r="15" spans="1:24" ht="14.25" customHeight="1" x14ac:dyDescent="0.45">
      <c r="A15" s="9">
        <v>43972</v>
      </c>
      <c r="B15" s="4" t="s">
        <v>10</v>
      </c>
      <c r="C15" s="4">
        <v>31272</v>
      </c>
      <c r="D15" s="4">
        <v>2744382</v>
      </c>
      <c r="E15" s="3"/>
      <c r="F15" s="3"/>
      <c r="G15" s="3"/>
    </row>
    <row r="16" spans="1:24" ht="14.25" customHeight="1" x14ac:dyDescent="0.45">
      <c r="A16" s="8">
        <v>43971</v>
      </c>
      <c r="B16" s="2" t="s">
        <v>10</v>
      </c>
      <c r="C16" s="2">
        <v>34077</v>
      </c>
      <c r="D16" s="2">
        <v>2929330.5</v>
      </c>
      <c r="E16" s="3"/>
      <c r="F16" s="3"/>
      <c r="G16" s="3"/>
    </row>
    <row r="17" spans="1:7" ht="14.25" customHeight="1" x14ac:dyDescent="0.45">
      <c r="A17" s="9">
        <v>43956</v>
      </c>
      <c r="B17" s="4" t="s">
        <v>10</v>
      </c>
      <c r="C17" s="4">
        <v>31566</v>
      </c>
      <c r="D17" s="4">
        <v>2906763</v>
      </c>
      <c r="E17" s="3"/>
      <c r="F17" s="3"/>
      <c r="G17" s="3"/>
    </row>
    <row r="18" spans="1:7" ht="14.25" customHeight="1" x14ac:dyDescent="0.45">
      <c r="A18" s="8">
        <v>43949</v>
      </c>
      <c r="B18" s="2" t="s">
        <v>10</v>
      </c>
      <c r="C18" s="2">
        <v>26940</v>
      </c>
      <c r="D18" s="2">
        <v>2411587.5</v>
      </c>
      <c r="E18" s="3"/>
      <c r="F18" s="3"/>
      <c r="G18" s="3"/>
    </row>
    <row r="19" spans="1:7" ht="14.25" customHeight="1" x14ac:dyDescent="0.45">
      <c r="A19" s="9">
        <v>43964</v>
      </c>
      <c r="B19" s="4" t="s">
        <v>10</v>
      </c>
      <c r="C19" s="4">
        <v>29241</v>
      </c>
      <c r="D19" s="4">
        <v>2629782</v>
      </c>
      <c r="E19" s="3"/>
      <c r="F19" s="3"/>
      <c r="G19" s="3"/>
    </row>
    <row r="20" spans="1:7" ht="14.25" customHeight="1" x14ac:dyDescent="0.45">
      <c r="A20" s="8">
        <v>43954</v>
      </c>
      <c r="B20" s="2" t="s">
        <v>10</v>
      </c>
      <c r="C20" s="2">
        <v>26082</v>
      </c>
      <c r="D20" s="2">
        <v>2434914</v>
      </c>
      <c r="E20" s="3"/>
      <c r="F20" s="3"/>
      <c r="G20" s="3"/>
    </row>
    <row r="21" spans="1:7" ht="14.25" customHeight="1" x14ac:dyDescent="0.45">
      <c r="A21" s="9">
        <v>43957</v>
      </c>
      <c r="B21" s="4" t="s">
        <v>10</v>
      </c>
      <c r="C21" s="4">
        <v>32511</v>
      </c>
      <c r="D21" s="4">
        <v>2938623</v>
      </c>
      <c r="E21" s="3"/>
      <c r="F21" s="3"/>
      <c r="G21" s="3"/>
    </row>
    <row r="22" spans="1:7" ht="14.25" customHeight="1" x14ac:dyDescent="0.45">
      <c r="A22" s="8">
        <v>43974</v>
      </c>
      <c r="B22" s="2" t="s">
        <v>10</v>
      </c>
      <c r="C22" s="2">
        <v>42703.5</v>
      </c>
      <c r="D22" s="2">
        <v>3628726.5</v>
      </c>
      <c r="E22" s="3"/>
      <c r="F22" s="3"/>
      <c r="G22" s="3"/>
    </row>
    <row r="23" spans="1:7" ht="14.25" customHeight="1" x14ac:dyDescent="0.45">
      <c r="A23" s="9">
        <v>43976</v>
      </c>
      <c r="B23" s="4" t="s">
        <v>10</v>
      </c>
      <c r="C23" s="4">
        <v>35592</v>
      </c>
      <c r="D23" s="4">
        <v>3176580</v>
      </c>
      <c r="E23" s="3"/>
      <c r="F23" s="3"/>
      <c r="G23" s="3"/>
    </row>
    <row r="24" spans="1:7" ht="14.25" customHeight="1" x14ac:dyDescent="0.45">
      <c r="A24" s="8">
        <v>43951</v>
      </c>
      <c r="B24" s="2" t="s">
        <v>10</v>
      </c>
      <c r="C24" s="2">
        <v>30445.5</v>
      </c>
      <c r="D24" s="2">
        <v>2817196.5</v>
      </c>
      <c r="E24" s="3"/>
      <c r="F24" s="3"/>
      <c r="G24" s="3"/>
    </row>
    <row r="25" spans="1:7" ht="14.25" customHeight="1" x14ac:dyDescent="0.45">
      <c r="A25" s="9">
        <v>43961</v>
      </c>
      <c r="B25" s="4" t="s">
        <v>10</v>
      </c>
      <c r="C25" s="4">
        <v>36619.5</v>
      </c>
      <c r="D25" s="4">
        <v>3312967.5</v>
      </c>
      <c r="E25" s="3"/>
      <c r="F25" s="3"/>
      <c r="G25" s="3"/>
    </row>
    <row r="26" spans="1:7" ht="14.25" customHeight="1" x14ac:dyDescent="0.45">
      <c r="A26" s="8">
        <v>43959</v>
      </c>
      <c r="B26" s="2" t="s">
        <v>10</v>
      </c>
      <c r="C26" s="2">
        <v>29409</v>
      </c>
      <c r="D26" s="2">
        <v>2645160</v>
      </c>
      <c r="E26" s="3"/>
      <c r="F26" s="3"/>
      <c r="G26" s="3"/>
    </row>
    <row r="27" spans="1:7" ht="14.25" customHeight="1" x14ac:dyDescent="0.45">
      <c r="A27" s="9">
        <v>43958</v>
      </c>
      <c r="B27" s="4" t="s">
        <v>10</v>
      </c>
      <c r="C27" s="4">
        <v>27018</v>
      </c>
      <c r="D27" s="4">
        <v>2472213</v>
      </c>
      <c r="E27" s="3"/>
      <c r="F27" s="3"/>
      <c r="G27" s="3"/>
    </row>
    <row r="28" spans="1:7" ht="14.25" customHeight="1" x14ac:dyDescent="0.45">
      <c r="A28" s="8">
        <v>43975</v>
      </c>
      <c r="B28" s="2" t="s">
        <v>10</v>
      </c>
      <c r="C28" s="2">
        <v>34303.5</v>
      </c>
      <c r="D28" s="2">
        <v>2924746.5</v>
      </c>
      <c r="E28" s="3"/>
      <c r="F28" s="3"/>
      <c r="G28" s="3"/>
    </row>
    <row r="29" spans="1:7" ht="14.25" customHeight="1" x14ac:dyDescent="0.45">
      <c r="A29" s="9">
        <v>43982</v>
      </c>
      <c r="B29" s="4" t="s">
        <v>10</v>
      </c>
      <c r="C29" s="4">
        <v>36999</v>
      </c>
      <c r="D29" s="4">
        <v>3473895</v>
      </c>
      <c r="E29" s="3"/>
      <c r="F29" s="3"/>
      <c r="G29" s="3"/>
    </row>
    <row r="30" spans="1:7" ht="14.25" customHeight="1" x14ac:dyDescent="0.45">
      <c r="A30" s="8">
        <v>43981</v>
      </c>
      <c r="B30" s="2" t="s">
        <v>10</v>
      </c>
      <c r="C30" s="2">
        <v>44001</v>
      </c>
      <c r="D30" s="2">
        <v>3921784.5</v>
      </c>
      <c r="E30" s="3"/>
      <c r="F30" s="3"/>
      <c r="G30" s="3"/>
    </row>
    <row r="31" spans="1:7" ht="14.25" customHeight="1" x14ac:dyDescent="0.45">
      <c r="A31" s="9">
        <v>43979</v>
      </c>
      <c r="B31" s="4" t="s">
        <v>10</v>
      </c>
      <c r="C31" s="4">
        <v>30982.5</v>
      </c>
      <c r="D31" s="4">
        <v>2827773</v>
      </c>
      <c r="E31" s="3"/>
      <c r="F31" s="3"/>
      <c r="G31" s="3"/>
    </row>
    <row r="32" spans="1:7" ht="14.25" customHeight="1" x14ac:dyDescent="0.45">
      <c r="A32" s="8">
        <v>43967</v>
      </c>
      <c r="B32" s="2" t="s">
        <v>11</v>
      </c>
      <c r="C32" s="2">
        <v>88063.5</v>
      </c>
      <c r="D32" s="2">
        <v>7583758.5</v>
      </c>
      <c r="E32" s="3"/>
      <c r="F32" s="3"/>
      <c r="G32" s="3"/>
    </row>
    <row r="33" spans="1:7" ht="14.25" customHeight="1" x14ac:dyDescent="0.45">
      <c r="A33" s="9">
        <v>43970</v>
      </c>
      <c r="B33" s="4" t="s">
        <v>11</v>
      </c>
      <c r="C33" s="4">
        <v>84024</v>
      </c>
      <c r="D33" s="4">
        <v>6815511</v>
      </c>
      <c r="E33" s="3"/>
      <c r="F33" s="3"/>
      <c r="G33" s="3"/>
    </row>
    <row r="34" spans="1:7" ht="14.25" customHeight="1" x14ac:dyDescent="0.45">
      <c r="A34" s="8">
        <v>43968</v>
      </c>
      <c r="B34" s="2" t="s">
        <v>11</v>
      </c>
      <c r="C34" s="2">
        <v>78057</v>
      </c>
      <c r="D34" s="2">
        <v>6774946.5</v>
      </c>
      <c r="E34" s="3"/>
      <c r="F34" s="3"/>
      <c r="G34" s="3"/>
    </row>
    <row r="35" spans="1:7" ht="14.25" customHeight="1" x14ac:dyDescent="0.45">
      <c r="A35" s="9">
        <v>43960</v>
      </c>
      <c r="B35" s="4" t="s">
        <v>11</v>
      </c>
      <c r="C35" s="4">
        <v>69720</v>
      </c>
      <c r="D35" s="4">
        <v>6264933</v>
      </c>
      <c r="E35" s="3"/>
      <c r="F35" s="3"/>
      <c r="G35" s="3"/>
    </row>
    <row r="36" spans="1:7" ht="14.25" customHeight="1" x14ac:dyDescent="0.45">
      <c r="A36" s="8">
        <v>43955</v>
      </c>
      <c r="B36" s="2" t="s">
        <v>11</v>
      </c>
      <c r="C36" s="2">
        <v>72928.5</v>
      </c>
      <c r="D36" s="2">
        <v>6642249</v>
      </c>
      <c r="E36" s="3"/>
      <c r="F36" s="3"/>
      <c r="G36" s="3"/>
    </row>
    <row r="37" spans="1:7" ht="14.25" customHeight="1" x14ac:dyDescent="0.45">
      <c r="A37" s="9">
        <v>43950</v>
      </c>
      <c r="B37" s="4" t="s">
        <v>11</v>
      </c>
      <c r="C37" s="4">
        <v>79527</v>
      </c>
      <c r="D37" s="4">
        <v>7180498.5</v>
      </c>
      <c r="E37" s="3"/>
      <c r="F37" s="3"/>
      <c r="G37" s="3"/>
    </row>
    <row r="38" spans="1:7" ht="14.25" customHeight="1" x14ac:dyDescent="0.45">
      <c r="A38" s="8">
        <v>43953</v>
      </c>
      <c r="B38" s="2" t="s">
        <v>11</v>
      </c>
      <c r="C38" s="2">
        <v>60463.5</v>
      </c>
      <c r="D38" s="2">
        <v>5554192.5</v>
      </c>
      <c r="E38" s="3"/>
      <c r="F38" s="3"/>
      <c r="G38" s="3"/>
    </row>
    <row r="39" spans="1:7" ht="14.25" customHeight="1" x14ac:dyDescent="0.45">
      <c r="A39" s="9">
        <v>43977</v>
      </c>
      <c r="B39" s="4" t="s">
        <v>11</v>
      </c>
      <c r="C39" s="4">
        <v>79975.5</v>
      </c>
      <c r="D39" s="4">
        <v>6676459.5</v>
      </c>
      <c r="E39" s="3"/>
      <c r="F39" s="3"/>
      <c r="G39" s="3"/>
    </row>
    <row r="40" spans="1:7" ht="14.25" customHeight="1" x14ac:dyDescent="0.45">
      <c r="A40" s="8">
        <v>43952</v>
      </c>
      <c r="B40" s="2" t="s">
        <v>11</v>
      </c>
      <c r="C40" s="2">
        <v>97534.5</v>
      </c>
      <c r="D40" s="2">
        <v>8893024.5</v>
      </c>
      <c r="E40" s="3"/>
      <c r="F40" s="3"/>
      <c r="G40" s="3"/>
    </row>
    <row r="41" spans="1:7" ht="14.25" customHeight="1" x14ac:dyDescent="0.45">
      <c r="A41" s="9">
        <v>43963</v>
      </c>
      <c r="B41" s="4" t="s">
        <v>11</v>
      </c>
      <c r="C41" s="4">
        <v>71520</v>
      </c>
      <c r="D41" s="4">
        <v>6398361</v>
      </c>
      <c r="E41" s="3"/>
      <c r="F41" s="3"/>
      <c r="G41" s="3"/>
    </row>
    <row r="42" spans="1:7" ht="14.25" customHeight="1" x14ac:dyDescent="0.45">
      <c r="A42" s="8">
        <v>43972</v>
      </c>
      <c r="B42" s="2" t="s">
        <v>11</v>
      </c>
      <c r="C42" s="2">
        <v>79485</v>
      </c>
      <c r="D42" s="2">
        <v>6633847.5</v>
      </c>
      <c r="E42" s="3"/>
      <c r="F42" s="3"/>
      <c r="G42" s="3"/>
    </row>
    <row r="43" spans="1:7" ht="14.25" customHeight="1" x14ac:dyDescent="0.45">
      <c r="A43" s="9">
        <v>43971</v>
      </c>
      <c r="B43" s="4" t="s">
        <v>11</v>
      </c>
      <c r="C43" s="4">
        <v>93313.5</v>
      </c>
      <c r="D43" s="4">
        <v>7247575.5</v>
      </c>
      <c r="E43" s="3"/>
      <c r="F43" s="3"/>
      <c r="G43" s="3"/>
    </row>
    <row r="44" spans="1:7" ht="14.25" customHeight="1" x14ac:dyDescent="0.45">
      <c r="A44" s="8">
        <v>43956</v>
      </c>
      <c r="B44" s="2" t="s">
        <v>11</v>
      </c>
      <c r="C44" s="2">
        <v>76585.5</v>
      </c>
      <c r="D44" s="2">
        <v>6921316.5</v>
      </c>
      <c r="E44" s="3"/>
      <c r="F44" s="3"/>
      <c r="G44" s="3"/>
    </row>
    <row r="45" spans="1:7" ht="14.25" customHeight="1" x14ac:dyDescent="0.45">
      <c r="A45" s="9">
        <v>43949</v>
      </c>
      <c r="B45" s="4" t="s">
        <v>11</v>
      </c>
      <c r="C45" s="4">
        <v>81826.5</v>
      </c>
      <c r="D45" s="4">
        <v>7163644.5</v>
      </c>
      <c r="E45" s="3"/>
      <c r="F45" s="3"/>
      <c r="G45" s="3"/>
    </row>
    <row r="46" spans="1:7" ht="14.25" customHeight="1" x14ac:dyDescent="0.45">
      <c r="A46" s="8">
        <v>43964</v>
      </c>
      <c r="B46" s="2" t="s">
        <v>11</v>
      </c>
      <c r="C46" s="2">
        <v>78846</v>
      </c>
      <c r="D46" s="2">
        <v>6993952.5</v>
      </c>
      <c r="E46" s="3"/>
      <c r="F46" s="3"/>
      <c r="G46" s="3"/>
    </row>
    <row r="47" spans="1:7" ht="14.25" customHeight="1" x14ac:dyDescent="0.45">
      <c r="A47" s="9">
        <v>43954</v>
      </c>
      <c r="B47" s="4" t="s">
        <v>11</v>
      </c>
      <c r="C47" s="4">
        <v>77263.5</v>
      </c>
      <c r="D47" s="4">
        <v>7013670</v>
      </c>
      <c r="E47" s="3"/>
      <c r="F47" s="3"/>
      <c r="G47" s="3"/>
    </row>
    <row r="48" spans="1:7" ht="14.25" customHeight="1" x14ac:dyDescent="0.45">
      <c r="A48" s="8">
        <v>43957</v>
      </c>
      <c r="B48" s="2" t="s">
        <v>11</v>
      </c>
      <c r="C48" s="2">
        <v>68994</v>
      </c>
      <c r="D48" s="2">
        <v>6168657</v>
      </c>
      <c r="E48" s="3"/>
      <c r="F48" s="3"/>
      <c r="G48" s="3"/>
    </row>
    <row r="49" spans="1:7" ht="14.25" customHeight="1" x14ac:dyDescent="0.45">
      <c r="A49" s="9">
        <v>43974</v>
      </c>
      <c r="B49" s="4" t="s">
        <v>11</v>
      </c>
      <c r="C49" s="4">
        <v>102889.5</v>
      </c>
      <c r="D49" s="4">
        <v>8089143</v>
      </c>
      <c r="E49" s="3"/>
      <c r="F49" s="3"/>
      <c r="G49" s="3"/>
    </row>
    <row r="50" spans="1:7" ht="14.25" customHeight="1" x14ac:dyDescent="0.45">
      <c r="A50" s="8">
        <v>43976</v>
      </c>
      <c r="B50" s="2" t="s">
        <v>11</v>
      </c>
      <c r="C50" s="2">
        <v>76999.5</v>
      </c>
      <c r="D50" s="2">
        <v>6645603</v>
      </c>
      <c r="E50" s="3"/>
      <c r="F50" s="3"/>
      <c r="G50" s="3"/>
    </row>
    <row r="51" spans="1:7" ht="14.25" customHeight="1" x14ac:dyDescent="0.45">
      <c r="A51" s="9">
        <v>43951</v>
      </c>
      <c r="B51" s="4" t="s">
        <v>11</v>
      </c>
      <c r="C51" s="4">
        <v>77565</v>
      </c>
      <c r="D51" s="4">
        <v>7023727.5</v>
      </c>
      <c r="E51" s="3"/>
      <c r="F51" s="3"/>
      <c r="G51" s="3"/>
    </row>
    <row r="52" spans="1:7" ht="14.25" customHeight="1" x14ac:dyDescent="0.45">
      <c r="A52" s="8">
        <v>43961</v>
      </c>
      <c r="B52" s="2" t="s">
        <v>11</v>
      </c>
      <c r="C52" s="2">
        <v>84132</v>
      </c>
      <c r="D52" s="2">
        <v>7483194</v>
      </c>
      <c r="E52" s="3"/>
      <c r="F52" s="3"/>
      <c r="G52" s="3"/>
    </row>
    <row r="53" spans="1:7" ht="14.25" customHeight="1" x14ac:dyDescent="0.45">
      <c r="A53" s="9">
        <v>43959</v>
      </c>
      <c r="B53" s="4" t="s">
        <v>11</v>
      </c>
      <c r="C53" s="4">
        <v>69544.5</v>
      </c>
      <c r="D53" s="4">
        <v>6293776.5</v>
      </c>
      <c r="E53" s="3"/>
      <c r="F53" s="3"/>
      <c r="G53" s="3"/>
    </row>
    <row r="54" spans="1:7" ht="14.25" customHeight="1" x14ac:dyDescent="0.45">
      <c r="A54" s="8">
        <v>43958</v>
      </c>
      <c r="B54" s="2" t="s">
        <v>11</v>
      </c>
      <c r="C54" s="2">
        <v>73204.5</v>
      </c>
      <c r="D54" s="2">
        <v>6591883.5</v>
      </c>
      <c r="E54" s="3"/>
      <c r="F54" s="3"/>
      <c r="G54" s="3"/>
    </row>
    <row r="55" spans="1:7" ht="14.25" customHeight="1" x14ac:dyDescent="0.45">
      <c r="A55" s="9">
        <v>43975</v>
      </c>
      <c r="B55" s="4" t="s">
        <v>11</v>
      </c>
      <c r="C55" s="4">
        <v>76663.5</v>
      </c>
      <c r="D55" s="4">
        <v>6451032</v>
      </c>
      <c r="E55" s="3"/>
      <c r="F55" s="3"/>
      <c r="G55" s="3"/>
    </row>
    <row r="56" spans="1:7" ht="14.25" customHeight="1" x14ac:dyDescent="0.45">
      <c r="A56" s="8">
        <v>43967</v>
      </c>
      <c r="B56" s="2" t="s">
        <v>12</v>
      </c>
      <c r="C56" s="2">
        <v>14265</v>
      </c>
      <c r="D56" s="2">
        <v>1130506.5</v>
      </c>
      <c r="E56" s="3"/>
      <c r="F56" s="3"/>
      <c r="G56" s="3"/>
    </row>
    <row r="57" spans="1:7" ht="14.25" customHeight="1" x14ac:dyDescent="0.45">
      <c r="A57" s="9">
        <v>43970</v>
      </c>
      <c r="B57" s="4" t="s">
        <v>12</v>
      </c>
      <c r="C57" s="4">
        <v>11526</v>
      </c>
      <c r="D57" s="4">
        <v>938764.5</v>
      </c>
      <c r="E57" s="3"/>
      <c r="F57" s="3"/>
      <c r="G57" s="3"/>
    </row>
    <row r="58" spans="1:7" ht="14.25" customHeight="1" x14ac:dyDescent="0.45">
      <c r="A58" s="8">
        <v>43968</v>
      </c>
      <c r="B58" s="2" t="s">
        <v>12</v>
      </c>
      <c r="C58" s="2">
        <v>10402.5</v>
      </c>
      <c r="D58" s="2">
        <v>843727.5</v>
      </c>
      <c r="E58" s="3"/>
      <c r="F58" s="3"/>
      <c r="G58" s="3"/>
    </row>
    <row r="59" spans="1:7" ht="14.25" customHeight="1" x14ac:dyDescent="0.45">
      <c r="A59" s="9">
        <v>43960</v>
      </c>
      <c r="B59" s="4" t="s">
        <v>12</v>
      </c>
      <c r="C59" s="4">
        <v>13216.5</v>
      </c>
      <c r="D59" s="4">
        <v>1046400</v>
      </c>
      <c r="E59" s="3"/>
      <c r="F59" s="3"/>
      <c r="G59" s="3"/>
    </row>
    <row r="60" spans="1:7" ht="14.25" customHeight="1" x14ac:dyDescent="0.45">
      <c r="A60" s="8">
        <v>43955</v>
      </c>
      <c r="B60" s="2" t="s">
        <v>12</v>
      </c>
      <c r="C60" s="2">
        <v>9130.5</v>
      </c>
      <c r="D60" s="2">
        <v>728890.5</v>
      </c>
      <c r="E60" s="3"/>
      <c r="F60" s="3"/>
      <c r="G60" s="3"/>
    </row>
    <row r="61" spans="1:7" ht="14.25" customHeight="1" x14ac:dyDescent="0.45">
      <c r="A61" s="9">
        <v>43950</v>
      </c>
      <c r="B61" s="4" t="s">
        <v>12</v>
      </c>
      <c r="C61" s="4">
        <v>10840.5</v>
      </c>
      <c r="D61" s="4">
        <v>797919</v>
      </c>
      <c r="E61" s="3"/>
      <c r="F61" s="3"/>
      <c r="G61" s="3"/>
    </row>
    <row r="62" spans="1:7" ht="14.25" customHeight="1" x14ac:dyDescent="0.45">
      <c r="A62" s="8">
        <v>43953</v>
      </c>
      <c r="B62" s="2" t="s">
        <v>12</v>
      </c>
      <c r="C62" s="2">
        <v>7866</v>
      </c>
      <c r="D62" s="2">
        <v>617881.5</v>
      </c>
      <c r="E62" s="3"/>
      <c r="F62" s="3"/>
      <c r="G62" s="3"/>
    </row>
    <row r="63" spans="1:7" ht="14.25" customHeight="1" x14ac:dyDescent="0.45">
      <c r="A63" s="9">
        <v>43977</v>
      </c>
      <c r="B63" s="4" t="s">
        <v>12</v>
      </c>
      <c r="C63" s="4">
        <v>11835</v>
      </c>
      <c r="D63" s="4">
        <v>983109</v>
      </c>
      <c r="E63" s="3"/>
      <c r="F63" s="3"/>
      <c r="G63" s="3"/>
    </row>
    <row r="64" spans="1:7" ht="14.25" customHeight="1" x14ac:dyDescent="0.45">
      <c r="A64" s="8">
        <v>43952</v>
      </c>
      <c r="B64" s="2" t="s">
        <v>12</v>
      </c>
      <c r="C64" s="2">
        <v>11619</v>
      </c>
      <c r="D64" s="2">
        <v>891139.5</v>
      </c>
      <c r="E64" s="3"/>
      <c r="F64" s="3"/>
      <c r="G64" s="3"/>
    </row>
    <row r="65" spans="1:7" ht="14.25" customHeight="1" x14ac:dyDescent="0.45">
      <c r="A65" s="9">
        <v>43963</v>
      </c>
      <c r="B65" s="4" t="s">
        <v>12</v>
      </c>
      <c r="C65" s="4">
        <v>9328.5</v>
      </c>
      <c r="D65" s="4">
        <v>732964.5</v>
      </c>
      <c r="E65" s="3"/>
      <c r="F65" s="3"/>
      <c r="G65" s="3"/>
    </row>
    <row r="66" spans="1:7" ht="14.25" customHeight="1" x14ac:dyDescent="0.45">
      <c r="A66" s="8">
        <v>43972</v>
      </c>
      <c r="B66" s="2" t="s">
        <v>12</v>
      </c>
      <c r="C66" s="2">
        <v>11250</v>
      </c>
      <c r="D66" s="2">
        <v>935523</v>
      </c>
      <c r="E66" s="3"/>
      <c r="F66" s="3"/>
      <c r="G66" s="3"/>
    </row>
    <row r="67" spans="1:7" ht="14.25" customHeight="1" x14ac:dyDescent="0.45">
      <c r="A67" s="9">
        <v>43971</v>
      </c>
      <c r="B67" s="4" t="s">
        <v>12</v>
      </c>
      <c r="C67" s="4">
        <v>13063.5</v>
      </c>
      <c r="D67" s="4">
        <v>1037247</v>
      </c>
      <c r="E67" s="3"/>
      <c r="F67" s="3"/>
      <c r="G67" s="3"/>
    </row>
    <row r="68" spans="1:7" ht="14.25" customHeight="1" x14ac:dyDescent="0.45">
      <c r="A68" s="8">
        <v>43956</v>
      </c>
      <c r="B68" s="2" t="s">
        <v>12</v>
      </c>
      <c r="C68" s="2">
        <v>10147.5</v>
      </c>
      <c r="D68" s="2">
        <v>793320</v>
      </c>
      <c r="E68" s="3"/>
      <c r="F68" s="3"/>
      <c r="G68" s="3"/>
    </row>
    <row r="69" spans="1:7" ht="14.25" customHeight="1" x14ac:dyDescent="0.45">
      <c r="A69" s="9">
        <v>43949</v>
      </c>
      <c r="B69" s="4" t="s">
        <v>12</v>
      </c>
      <c r="C69" s="4">
        <v>12331.5</v>
      </c>
      <c r="D69" s="4">
        <v>869983.5</v>
      </c>
      <c r="E69" s="3"/>
      <c r="F69" s="3"/>
      <c r="G69" s="3"/>
    </row>
    <row r="70" spans="1:7" ht="14.25" customHeight="1" x14ac:dyDescent="0.45">
      <c r="A70" s="8">
        <v>43964</v>
      </c>
      <c r="B70" s="2" t="s">
        <v>12</v>
      </c>
      <c r="C70" s="2">
        <v>11202</v>
      </c>
      <c r="D70" s="2">
        <v>865714.5</v>
      </c>
      <c r="E70" s="3"/>
      <c r="F70" s="3"/>
      <c r="G70" s="3"/>
    </row>
    <row r="71" spans="1:7" ht="14.25" customHeight="1" x14ac:dyDescent="0.45">
      <c r="A71" s="9">
        <v>43982</v>
      </c>
      <c r="B71" s="4" t="s">
        <v>11</v>
      </c>
      <c r="C71" s="4">
        <v>89149.5</v>
      </c>
      <c r="D71" s="4">
        <v>7512646.5</v>
      </c>
      <c r="E71" s="3"/>
      <c r="F71" s="3"/>
      <c r="G71" s="3"/>
    </row>
    <row r="72" spans="1:7" ht="14.25" customHeight="1" x14ac:dyDescent="0.45">
      <c r="A72" s="8">
        <v>43954</v>
      </c>
      <c r="B72" s="2" t="s">
        <v>12</v>
      </c>
      <c r="C72" s="2">
        <v>8185.5</v>
      </c>
      <c r="D72" s="2">
        <v>637881</v>
      </c>
      <c r="E72" s="3"/>
      <c r="F72" s="3"/>
      <c r="G72" s="3"/>
    </row>
    <row r="73" spans="1:7" ht="14.25" customHeight="1" x14ac:dyDescent="0.45">
      <c r="A73" s="9">
        <v>43981</v>
      </c>
      <c r="B73" s="4" t="s">
        <v>11</v>
      </c>
      <c r="C73" s="4">
        <v>108123</v>
      </c>
      <c r="D73" s="4">
        <v>9164707.5</v>
      </c>
      <c r="E73" s="3"/>
      <c r="F73" s="3"/>
      <c r="G73" s="3"/>
    </row>
    <row r="74" spans="1:7" ht="14.25" customHeight="1" x14ac:dyDescent="0.45">
      <c r="A74" s="8">
        <v>43957</v>
      </c>
      <c r="B74" s="2" t="s">
        <v>12</v>
      </c>
      <c r="C74" s="2">
        <v>9210</v>
      </c>
      <c r="D74" s="2">
        <v>696832.5</v>
      </c>
      <c r="E74" s="3"/>
      <c r="F74" s="3"/>
      <c r="G74" s="3"/>
    </row>
    <row r="75" spans="1:7" ht="14.25" customHeight="1" x14ac:dyDescent="0.45">
      <c r="A75" s="9">
        <v>43974</v>
      </c>
      <c r="B75" s="4" t="s">
        <v>12</v>
      </c>
      <c r="C75" s="4">
        <v>14773.5</v>
      </c>
      <c r="D75" s="4">
        <v>1241383.5</v>
      </c>
      <c r="E75" s="3"/>
      <c r="F75" s="3"/>
      <c r="G75" s="3"/>
    </row>
    <row r="76" spans="1:7" ht="14.25" customHeight="1" x14ac:dyDescent="0.45">
      <c r="A76" s="8">
        <v>43979</v>
      </c>
      <c r="B76" s="2" t="s">
        <v>11</v>
      </c>
      <c r="C76" s="2">
        <v>78141</v>
      </c>
      <c r="D76" s="2">
        <v>6641569.5</v>
      </c>
      <c r="E76" s="3"/>
      <c r="F76" s="3"/>
      <c r="G76" s="3"/>
    </row>
    <row r="77" spans="1:7" ht="14.25" customHeight="1" x14ac:dyDescent="0.45">
      <c r="A77" s="9">
        <v>43976</v>
      </c>
      <c r="B77" s="4" t="s">
        <v>12</v>
      </c>
      <c r="C77" s="4">
        <v>12280.5</v>
      </c>
      <c r="D77" s="4">
        <v>1030440</v>
      </c>
      <c r="E77" s="3"/>
      <c r="F77" s="3"/>
      <c r="G77" s="3"/>
    </row>
    <row r="78" spans="1:7" ht="14.25" customHeight="1" x14ac:dyDescent="0.45">
      <c r="A78" s="8">
        <v>43951</v>
      </c>
      <c r="B78" s="2" t="s">
        <v>12</v>
      </c>
      <c r="C78" s="2">
        <v>8934</v>
      </c>
      <c r="D78" s="2">
        <v>716196</v>
      </c>
      <c r="E78" s="3"/>
      <c r="F78" s="3"/>
      <c r="G78" s="3"/>
    </row>
    <row r="79" spans="1:7" ht="14.25" customHeight="1" x14ac:dyDescent="0.45">
      <c r="A79" s="9">
        <v>43961</v>
      </c>
      <c r="B79" s="4" t="s">
        <v>12</v>
      </c>
      <c r="C79" s="4">
        <v>12918</v>
      </c>
      <c r="D79" s="4">
        <v>1004788.5</v>
      </c>
      <c r="E79" s="3"/>
      <c r="F79" s="3"/>
      <c r="G79" s="3"/>
    </row>
    <row r="80" spans="1:7" ht="14.25" customHeight="1" x14ac:dyDescent="0.45">
      <c r="A80" s="8">
        <v>43959</v>
      </c>
      <c r="B80" s="2" t="s">
        <v>12</v>
      </c>
      <c r="C80" s="2">
        <v>12528</v>
      </c>
      <c r="D80" s="2">
        <v>959703</v>
      </c>
      <c r="E80" s="3"/>
      <c r="F80" s="3"/>
      <c r="G80" s="3"/>
    </row>
    <row r="81" spans="1:7" ht="14.25" customHeight="1" x14ac:dyDescent="0.45">
      <c r="A81" s="9">
        <v>43958</v>
      </c>
      <c r="B81" s="4" t="s">
        <v>12</v>
      </c>
      <c r="C81" s="4">
        <v>11029.5</v>
      </c>
      <c r="D81" s="4">
        <v>863754</v>
      </c>
      <c r="E81" s="3"/>
      <c r="F81" s="3"/>
      <c r="G81" s="3"/>
    </row>
    <row r="82" spans="1:7" ht="14.25" customHeight="1" x14ac:dyDescent="0.45">
      <c r="A82" s="8">
        <v>43975</v>
      </c>
      <c r="B82" s="2" t="s">
        <v>12</v>
      </c>
      <c r="C82" s="2">
        <v>9994.5</v>
      </c>
      <c r="D82" s="2">
        <v>828984</v>
      </c>
      <c r="E82" s="3"/>
      <c r="F82" s="3"/>
      <c r="G82" s="3"/>
    </row>
    <row r="83" spans="1:7" ht="14.25" customHeight="1" x14ac:dyDescent="0.45">
      <c r="A83" s="9">
        <v>43982</v>
      </c>
      <c r="B83" s="4" t="s">
        <v>12</v>
      </c>
      <c r="C83" s="4">
        <v>12724.5</v>
      </c>
      <c r="D83" s="4">
        <v>1045515</v>
      </c>
      <c r="E83" s="3"/>
      <c r="F83" s="3"/>
      <c r="G83" s="3"/>
    </row>
    <row r="84" spans="1:7" ht="14.25" customHeight="1" x14ac:dyDescent="0.45">
      <c r="A84" s="8">
        <v>43981</v>
      </c>
      <c r="B84" s="2" t="s">
        <v>12</v>
      </c>
      <c r="C84" s="2">
        <v>14728.5</v>
      </c>
      <c r="D84" s="2">
        <v>1260483</v>
      </c>
      <c r="E84" s="3"/>
      <c r="F84" s="3"/>
      <c r="G84" s="3"/>
    </row>
    <row r="85" spans="1:7" ht="14.25" customHeight="1" x14ac:dyDescent="0.45">
      <c r="A85" s="9">
        <v>43979</v>
      </c>
      <c r="B85" s="4" t="s">
        <v>12</v>
      </c>
      <c r="C85" s="4">
        <v>13038</v>
      </c>
      <c r="D85" s="4">
        <v>1114552.5</v>
      </c>
      <c r="E85" s="3"/>
      <c r="F85" s="3"/>
      <c r="G85" s="3"/>
    </row>
    <row r="86" spans="1:7" ht="14.25" customHeight="1" x14ac:dyDescent="0.45">
      <c r="A86" s="8">
        <v>43967</v>
      </c>
      <c r="B86" s="2" t="s">
        <v>13</v>
      </c>
      <c r="C86" s="2">
        <v>35482.5</v>
      </c>
      <c r="D86" s="2">
        <v>3222517.5</v>
      </c>
      <c r="E86" s="3"/>
      <c r="F86" s="3"/>
      <c r="G86" s="3"/>
    </row>
    <row r="87" spans="1:7" ht="14.25" customHeight="1" x14ac:dyDescent="0.45">
      <c r="A87" s="9">
        <v>43970</v>
      </c>
      <c r="B87" s="4" t="s">
        <v>13</v>
      </c>
      <c r="C87" s="4">
        <v>32434.5</v>
      </c>
      <c r="D87" s="4">
        <v>2865337.5</v>
      </c>
      <c r="E87" s="3"/>
      <c r="F87" s="3"/>
      <c r="G87" s="3"/>
    </row>
    <row r="88" spans="1:7" ht="14.25" customHeight="1" x14ac:dyDescent="0.45">
      <c r="A88" s="8">
        <v>43968</v>
      </c>
      <c r="B88" s="2" t="s">
        <v>13</v>
      </c>
      <c r="C88" s="2">
        <v>30486</v>
      </c>
      <c r="D88" s="2">
        <v>2694289.5</v>
      </c>
      <c r="E88" s="3"/>
      <c r="F88" s="3"/>
      <c r="G88" s="3"/>
    </row>
    <row r="89" spans="1:7" ht="14.25" customHeight="1" x14ac:dyDescent="0.45">
      <c r="A89" s="9">
        <v>43960</v>
      </c>
      <c r="B89" s="4" t="s">
        <v>13</v>
      </c>
      <c r="C89" s="4">
        <v>32079</v>
      </c>
      <c r="D89" s="4">
        <v>2902167</v>
      </c>
      <c r="E89" s="3"/>
      <c r="F89" s="3"/>
      <c r="G89" s="3"/>
    </row>
    <row r="90" spans="1:7" ht="14.25" customHeight="1" x14ac:dyDescent="0.45">
      <c r="A90" s="8">
        <v>43955</v>
      </c>
      <c r="B90" s="2" t="s">
        <v>13</v>
      </c>
      <c r="C90" s="2">
        <v>27072</v>
      </c>
      <c r="D90" s="2">
        <v>2450968.5</v>
      </c>
      <c r="E90" s="3"/>
      <c r="F90" s="3"/>
      <c r="G90" s="3"/>
    </row>
    <row r="91" spans="1:7" ht="14.25" customHeight="1" x14ac:dyDescent="0.45">
      <c r="A91" s="9">
        <v>43950</v>
      </c>
      <c r="B91" s="4" t="s">
        <v>13</v>
      </c>
      <c r="C91" s="4">
        <v>25917</v>
      </c>
      <c r="D91" s="4">
        <v>2397588</v>
      </c>
      <c r="E91" s="3"/>
      <c r="F91" s="3"/>
      <c r="G91" s="3"/>
    </row>
    <row r="92" spans="1:7" ht="14.25" customHeight="1" x14ac:dyDescent="0.45">
      <c r="A92" s="8">
        <v>43953</v>
      </c>
      <c r="B92" s="2" t="s">
        <v>13</v>
      </c>
      <c r="C92" s="2">
        <v>19461</v>
      </c>
      <c r="D92" s="2">
        <v>1799230.5</v>
      </c>
      <c r="E92" s="3"/>
      <c r="F92" s="3"/>
      <c r="G92" s="3"/>
    </row>
    <row r="93" spans="1:7" ht="14.25" customHeight="1" x14ac:dyDescent="0.45">
      <c r="A93" s="9">
        <v>43977</v>
      </c>
      <c r="B93" s="4" t="s">
        <v>13</v>
      </c>
      <c r="C93" s="4">
        <v>31407</v>
      </c>
      <c r="D93" s="4">
        <v>2907411</v>
      </c>
      <c r="E93" s="3"/>
      <c r="F93" s="3"/>
      <c r="G93" s="3"/>
    </row>
    <row r="94" spans="1:7" ht="14.25" customHeight="1" x14ac:dyDescent="0.45">
      <c r="A94" s="8">
        <v>43952</v>
      </c>
      <c r="B94" s="2" t="s">
        <v>13</v>
      </c>
      <c r="C94" s="2">
        <v>25792.5</v>
      </c>
      <c r="D94" s="2">
        <v>2374356</v>
      </c>
      <c r="E94" s="3"/>
      <c r="F94" s="3"/>
      <c r="G94" s="3"/>
    </row>
    <row r="95" spans="1:7" ht="14.25" customHeight="1" x14ac:dyDescent="0.45">
      <c r="A95" s="9">
        <v>43963</v>
      </c>
      <c r="B95" s="4" t="s">
        <v>13</v>
      </c>
      <c r="C95" s="4">
        <v>26032.5</v>
      </c>
      <c r="D95" s="4">
        <v>2370432</v>
      </c>
      <c r="E95" s="3"/>
      <c r="F95" s="3"/>
      <c r="G95" s="3"/>
    </row>
    <row r="96" spans="1:7" ht="14.25" customHeight="1" x14ac:dyDescent="0.45">
      <c r="A96" s="8">
        <v>43972</v>
      </c>
      <c r="B96" s="2" t="s">
        <v>13</v>
      </c>
      <c r="C96" s="2">
        <v>31707</v>
      </c>
      <c r="D96" s="2">
        <v>2853181.5</v>
      </c>
      <c r="E96" s="3"/>
      <c r="F96" s="3"/>
      <c r="G96" s="3"/>
    </row>
    <row r="97" spans="1:7" ht="14.25" customHeight="1" x14ac:dyDescent="0.45">
      <c r="A97" s="9">
        <v>43971</v>
      </c>
      <c r="B97" s="4" t="s">
        <v>13</v>
      </c>
      <c r="C97" s="4">
        <v>29955</v>
      </c>
      <c r="D97" s="4">
        <v>2692230</v>
      </c>
      <c r="E97" s="3"/>
      <c r="F97" s="3"/>
      <c r="G97" s="3"/>
    </row>
    <row r="98" spans="1:7" ht="14.25" customHeight="1" x14ac:dyDescent="0.45">
      <c r="A98" s="8">
        <v>43956</v>
      </c>
      <c r="B98" s="2" t="s">
        <v>13</v>
      </c>
      <c r="C98" s="2">
        <v>22848</v>
      </c>
      <c r="D98" s="2">
        <v>2079900</v>
      </c>
      <c r="E98" s="3"/>
      <c r="F98" s="3"/>
      <c r="G98" s="3"/>
    </row>
    <row r="99" spans="1:7" ht="14.25" customHeight="1" x14ac:dyDescent="0.45">
      <c r="A99" s="9">
        <v>43949</v>
      </c>
      <c r="B99" s="4" t="s">
        <v>13</v>
      </c>
      <c r="C99" s="4">
        <v>23314.5</v>
      </c>
      <c r="D99" s="4">
        <v>2136817.5</v>
      </c>
      <c r="E99" s="3"/>
      <c r="F99" s="3"/>
      <c r="G99" s="3"/>
    </row>
    <row r="100" spans="1:7" ht="14.25" customHeight="1" x14ac:dyDescent="0.45">
      <c r="A100" s="8">
        <v>43964</v>
      </c>
      <c r="B100" s="2" t="s">
        <v>13</v>
      </c>
      <c r="C100" s="2">
        <v>26464.5</v>
      </c>
      <c r="D100" s="2">
        <v>2373337.5</v>
      </c>
      <c r="E100" s="3"/>
      <c r="F100" s="3"/>
      <c r="G100" s="3"/>
    </row>
    <row r="101" spans="1:7" ht="14.25" customHeight="1" x14ac:dyDescent="0.45">
      <c r="A101" s="9">
        <v>43954</v>
      </c>
      <c r="B101" s="4" t="s">
        <v>13</v>
      </c>
      <c r="C101" s="4">
        <v>23539.5</v>
      </c>
      <c r="D101" s="4">
        <v>2170309.5</v>
      </c>
      <c r="E101" s="3"/>
      <c r="F101" s="3"/>
      <c r="G101" s="3"/>
    </row>
    <row r="102" spans="1:7" ht="14.25" customHeight="1" x14ac:dyDescent="0.45">
      <c r="A102" s="8">
        <v>43957</v>
      </c>
      <c r="B102" s="2" t="s">
        <v>13</v>
      </c>
      <c r="C102" s="2">
        <v>24678</v>
      </c>
      <c r="D102" s="2">
        <v>2232519</v>
      </c>
      <c r="E102" s="3"/>
      <c r="F102" s="3"/>
      <c r="G102" s="3"/>
    </row>
    <row r="103" spans="1:7" ht="14.25" customHeight="1" x14ac:dyDescent="0.45">
      <c r="A103" s="9">
        <v>43974</v>
      </c>
      <c r="B103" s="4" t="s">
        <v>13</v>
      </c>
      <c r="C103" s="4">
        <v>38176.5</v>
      </c>
      <c r="D103" s="4">
        <v>3385372.5</v>
      </c>
      <c r="E103" s="3"/>
      <c r="F103" s="3"/>
      <c r="G103" s="3"/>
    </row>
    <row r="104" spans="1:7" ht="14.25" customHeight="1" x14ac:dyDescent="0.45">
      <c r="A104" s="8">
        <v>43976</v>
      </c>
      <c r="B104" s="2" t="s">
        <v>13</v>
      </c>
      <c r="C104" s="2">
        <v>30603</v>
      </c>
      <c r="D104" s="2">
        <v>2865727.5</v>
      </c>
      <c r="E104" s="3"/>
      <c r="F104" s="3"/>
      <c r="G104" s="3"/>
    </row>
    <row r="105" spans="1:7" ht="14.25" customHeight="1" x14ac:dyDescent="0.45">
      <c r="A105" s="9">
        <v>43951</v>
      </c>
      <c r="B105" s="4" t="s">
        <v>13</v>
      </c>
      <c r="C105" s="4">
        <v>24211.5</v>
      </c>
      <c r="D105" s="4">
        <v>2267664</v>
      </c>
      <c r="E105" s="3"/>
      <c r="F105" s="3"/>
      <c r="G105" s="3"/>
    </row>
    <row r="106" spans="1:7" ht="14.25" customHeight="1" x14ac:dyDescent="0.45">
      <c r="A106" s="8">
        <v>43961</v>
      </c>
      <c r="B106" s="2" t="s">
        <v>13</v>
      </c>
      <c r="C106" s="2">
        <v>31399.5</v>
      </c>
      <c r="D106" s="2">
        <v>2862298.5</v>
      </c>
      <c r="E106" s="3"/>
      <c r="F106" s="3"/>
      <c r="G106" s="3"/>
    </row>
    <row r="107" spans="1:7" ht="14.25" customHeight="1" x14ac:dyDescent="0.45">
      <c r="A107" s="9">
        <v>43959</v>
      </c>
      <c r="B107" s="4" t="s">
        <v>13</v>
      </c>
      <c r="C107" s="4">
        <v>25294.5</v>
      </c>
      <c r="D107" s="4">
        <v>2271454.5</v>
      </c>
      <c r="E107" s="3"/>
      <c r="F107" s="3"/>
      <c r="G107" s="3"/>
    </row>
    <row r="108" spans="1:7" ht="14.25" customHeight="1" x14ac:dyDescent="0.45">
      <c r="A108" s="8">
        <v>43958</v>
      </c>
      <c r="B108" s="2" t="s">
        <v>13</v>
      </c>
      <c r="C108" s="2">
        <v>25468.5</v>
      </c>
      <c r="D108" s="2">
        <v>2350672.5</v>
      </c>
      <c r="E108" s="3"/>
      <c r="F108" s="3"/>
      <c r="G108" s="3"/>
    </row>
    <row r="109" spans="1:7" ht="14.25" customHeight="1" x14ac:dyDescent="0.45">
      <c r="A109" s="9">
        <v>43975</v>
      </c>
      <c r="B109" s="4" t="s">
        <v>13</v>
      </c>
      <c r="C109" s="4">
        <v>31854</v>
      </c>
      <c r="D109" s="4">
        <v>2915533.5</v>
      </c>
      <c r="E109" s="3"/>
      <c r="F109" s="3"/>
      <c r="G109" s="3"/>
    </row>
    <row r="110" spans="1:7" ht="14.25" customHeight="1" x14ac:dyDescent="0.45">
      <c r="A110" s="8">
        <v>43982</v>
      </c>
      <c r="B110" s="2" t="s">
        <v>13</v>
      </c>
      <c r="C110" s="2">
        <v>32359.5</v>
      </c>
      <c r="D110" s="2">
        <v>2991999</v>
      </c>
      <c r="E110" s="3"/>
      <c r="F110" s="3"/>
      <c r="G110" s="3"/>
    </row>
    <row r="111" spans="1:7" ht="14.25" customHeight="1" x14ac:dyDescent="0.45">
      <c r="A111" s="9">
        <v>43981</v>
      </c>
      <c r="B111" s="4" t="s">
        <v>13</v>
      </c>
      <c r="C111" s="4">
        <v>39867</v>
      </c>
      <c r="D111" s="4">
        <v>3654166.5</v>
      </c>
      <c r="E111" s="3"/>
      <c r="F111" s="3"/>
      <c r="G111" s="3"/>
    </row>
    <row r="112" spans="1:7" ht="14.25" customHeight="1" x14ac:dyDescent="0.45">
      <c r="A112" s="8">
        <v>43979</v>
      </c>
      <c r="B112" s="2" t="s">
        <v>13</v>
      </c>
      <c r="C112" s="2">
        <v>31974</v>
      </c>
      <c r="D112" s="2">
        <v>3004213.5</v>
      </c>
      <c r="E112" s="3"/>
      <c r="F112" s="3"/>
      <c r="G112" s="3"/>
    </row>
    <row r="113" spans="1:7" ht="14.25" customHeight="1" x14ac:dyDescent="0.45">
      <c r="A113" s="9">
        <v>43967</v>
      </c>
      <c r="B113" s="4" t="s">
        <v>14</v>
      </c>
      <c r="C113" s="4">
        <v>321412.5</v>
      </c>
      <c r="D113" s="4">
        <v>32235864</v>
      </c>
      <c r="E113" s="3"/>
      <c r="F113" s="3"/>
      <c r="G113" s="3"/>
    </row>
    <row r="114" spans="1:7" ht="14.25" customHeight="1" x14ac:dyDescent="0.45">
      <c r="A114" s="8">
        <v>43970</v>
      </c>
      <c r="B114" s="2" t="s">
        <v>14</v>
      </c>
      <c r="C114" s="2">
        <v>276568.5</v>
      </c>
      <c r="D114" s="2">
        <v>27093624</v>
      </c>
      <c r="E114" s="3"/>
      <c r="F114" s="3"/>
      <c r="G114" s="3"/>
    </row>
    <row r="115" spans="1:7" ht="14.25" customHeight="1" x14ac:dyDescent="0.45">
      <c r="A115" s="9">
        <v>43968</v>
      </c>
      <c r="B115" s="4" t="s">
        <v>14</v>
      </c>
      <c r="C115" s="4">
        <v>269029.5</v>
      </c>
      <c r="D115" s="4">
        <v>26659930.5</v>
      </c>
      <c r="E115" s="3"/>
      <c r="F115" s="3"/>
      <c r="G115" s="3"/>
    </row>
    <row r="116" spans="1:7" ht="14.25" customHeight="1" x14ac:dyDescent="0.45">
      <c r="A116" s="8">
        <v>43960</v>
      </c>
      <c r="B116" s="2" t="s">
        <v>14</v>
      </c>
      <c r="C116" s="2">
        <v>285972</v>
      </c>
      <c r="D116" s="2">
        <v>29768199</v>
      </c>
      <c r="E116" s="3"/>
      <c r="F116" s="3"/>
      <c r="G116" s="3"/>
    </row>
    <row r="117" spans="1:7" ht="14.25" customHeight="1" x14ac:dyDescent="0.45">
      <c r="A117" s="9">
        <v>43955</v>
      </c>
      <c r="B117" s="4" t="s">
        <v>14</v>
      </c>
      <c r="C117" s="4">
        <v>283942.5</v>
      </c>
      <c r="D117" s="4">
        <v>29357940</v>
      </c>
      <c r="E117" s="3"/>
      <c r="F117" s="3"/>
      <c r="G117" s="3"/>
    </row>
    <row r="118" spans="1:7" ht="14.25" customHeight="1" x14ac:dyDescent="0.45">
      <c r="A118" s="8">
        <v>43950</v>
      </c>
      <c r="B118" s="2" t="s">
        <v>14</v>
      </c>
      <c r="C118" s="2">
        <v>298059</v>
      </c>
      <c r="D118" s="2">
        <v>30869287.5</v>
      </c>
      <c r="E118" s="3"/>
      <c r="F118" s="3"/>
      <c r="G118" s="3"/>
    </row>
    <row r="119" spans="1:7" ht="14.25" customHeight="1" x14ac:dyDescent="0.45">
      <c r="A119" s="9">
        <v>43953</v>
      </c>
      <c r="B119" s="4" t="s">
        <v>14</v>
      </c>
      <c r="C119" s="4">
        <v>232903.5</v>
      </c>
      <c r="D119" s="4">
        <v>24342016.5</v>
      </c>
      <c r="E119" s="3"/>
      <c r="F119" s="3"/>
      <c r="G119" s="3"/>
    </row>
    <row r="120" spans="1:7" ht="14.25" customHeight="1" x14ac:dyDescent="0.45">
      <c r="A120" s="8">
        <v>43977</v>
      </c>
      <c r="B120" s="2" t="s">
        <v>14</v>
      </c>
      <c r="C120" s="2">
        <v>276966</v>
      </c>
      <c r="D120" s="2">
        <v>27872617.898850001</v>
      </c>
      <c r="E120" s="3"/>
      <c r="F120" s="3"/>
      <c r="G120" s="3"/>
    </row>
    <row r="121" spans="1:7" ht="14.25" customHeight="1" x14ac:dyDescent="0.45">
      <c r="A121" s="9">
        <v>43952</v>
      </c>
      <c r="B121" s="4" t="s">
        <v>14</v>
      </c>
      <c r="C121" s="4">
        <v>296149.5</v>
      </c>
      <c r="D121" s="4">
        <v>31053316.5</v>
      </c>
      <c r="E121" s="3"/>
      <c r="F121" s="3"/>
      <c r="G121" s="3"/>
    </row>
    <row r="122" spans="1:7" ht="14.25" customHeight="1" x14ac:dyDescent="0.45">
      <c r="A122" s="8">
        <v>43963</v>
      </c>
      <c r="B122" s="2" t="s">
        <v>14</v>
      </c>
      <c r="C122" s="2">
        <v>281796</v>
      </c>
      <c r="D122" s="2">
        <v>29042520</v>
      </c>
      <c r="E122" s="3"/>
      <c r="F122" s="3"/>
      <c r="G122" s="3"/>
    </row>
    <row r="123" spans="1:7" ht="14.25" customHeight="1" x14ac:dyDescent="0.45">
      <c r="A123" s="9">
        <v>43972</v>
      </c>
      <c r="B123" s="4" t="s">
        <v>14</v>
      </c>
      <c r="C123" s="4">
        <v>288936</v>
      </c>
      <c r="D123" s="4">
        <v>27852900</v>
      </c>
      <c r="E123" s="3"/>
      <c r="F123" s="3"/>
      <c r="G123" s="3"/>
    </row>
    <row r="124" spans="1:7" ht="14.25" customHeight="1" x14ac:dyDescent="0.45">
      <c r="A124" s="8">
        <v>43971</v>
      </c>
      <c r="B124" s="2" t="s">
        <v>14</v>
      </c>
      <c r="C124" s="2">
        <v>300151.5</v>
      </c>
      <c r="D124" s="2">
        <v>29368771.617449999</v>
      </c>
      <c r="E124" s="3"/>
      <c r="F124" s="3"/>
      <c r="G124" s="3"/>
    </row>
    <row r="125" spans="1:7" ht="14.25" customHeight="1" x14ac:dyDescent="0.45">
      <c r="A125" s="9">
        <v>43956</v>
      </c>
      <c r="B125" s="4" t="s">
        <v>14</v>
      </c>
      <c r="C125" s="4">
        <v>262734</v>
      </c>
      <c r="D125" s="4">
        <v>27278441.145</v>
      </c>
      <c r="E125" s="3"/>
      <c r="F125" s="3"/>
      <c r="G125" s="3"/>
    </row>
    <row r="126" spans="1:7" ht="14.25" customHeight="1" x14ac:dyDescent="0.45">
      <c r="A126" s="8">
        <v>43949</v>
      </c>
      <c r="B126" s="2" t="s">
        <v>14</v>
      </c>
      <c r="C126" s="2">
        <v>286002</v>
      </c>
      <c r="D126" s="2">
        <v>29159032.5</v>
      </c>
      <c r="E126" s="3"/>
      <c r="F126" s="3"/>
      <c r="G126" s="3"/>
    </row>
    <row r="127" spans="1:7" ht="14.25" customHeight="1" x14ac:dyDescent="0.45">
      <c r="A127" s="9">
        <v>43964</v>
      </c>
      <c r="B127" s="4" t="s">
        <v>14</v>
      </c>
      <c r="C127" s="4">
        <v>258459</v>
      </c>
      <c r="D127" s="4">
        <v>26467453.5</v>
      </c>
      <c r="E127" s="3"/>
      <c r="F127" s="3"/>
      <c r="G127" s="3"/>
    </row>
    <row r="128" spans="1:7" ht="14.25" customHeight="1" x14ac:dyDescent="0.45">
      <c r="A128" s="8">
        <v>43954</v>
      </c>
      <c r="B128" s="2" t="s">
        <v>14</v>
      </c>
      <c r="C128" s="2">
        <v>274083</v>
      </c>
      <c r="D128" s="2">
        <v>28427001</v>
      </c>
      <c r="E128" s="3"/>
      <c r="F128" s="3"/>
      <c r="G128" s="3"/>
    </row>
    <row r="129" spans="1:7" ht="14.25" customHeight="1" x14ac:dyDescent="0.45">
      <c r="A129" s="9">
        <v>43957</v>
      </c>
      <c r="B129" s="4" t="s">
        <v>14</v>
      </c>
      <c r="C129" s="4">
        <v>277512</v>
      </c>
      <c r="D129" s="4">
        <v>28770810.105599999</v>
      </c>
      <c r="E129" s="3"/>
      <c r="F129" s="3"/>
      <c r="G129" s="3"/>
    </row>
    <row r="130" spans="1:7" ht="14.25" customHeight="1" x14ac:dyDescent="0.45">
      <c r="A130" s="8">
        <v>43974</v>
      </c>
      <c r="B130" s="2" t="s">
        <v>14</v>
      </c>
      <c r="C130" s="2">
        <v>356982</v>
      </c>
      <c r="D130" s="2">
        <v>35103926.711549997</v>
      </c>
      <c r="E130" s="3"/>
      <c r="F130" s="3"/>
      <c r="G130" s="3"/>
    </row>
    <row r="131" spans="1:7" ht="14.25" customHeight="1" x14ac:dyDescent="0.45">
      <c r="A131" s="9">
        <v>43976</v>
      </c>
      <c r="B131" s="4" t="s">
        <v>14</v>
      </c>
      <c r="C131" s="4">
        <v>266983.5</v>
      </c>
      <c r="D131" s="4">
        <v>27165913.5</v>
      </c>
      <c r="E131" s="3"/>
      <c r="F131" s="3"/>
      <c r="G131" s="3"/>
    </row>
    <row r="132" spans="1:7" ht="14.25" customHeight="1" x14ac:dyDescent="0.45">
      <c r="A132" s="8">
        <v>43951</v>
      </c>
      <c r="B132" s="2" t="s">
        <v>14</v>
      </c>
      <c r="C132" s="2">
        <v>311131.5</v>
      </c>
      <c r="D132" s="2">
        <v>32418879</v>
      </c>
      <c r="E132" s="3"/>
      <c r="F132" s="3"/>
      <c r="G132" s="3"/>
    </row>
    <row r="133" spans="1:7" ht="14.25" customHeight="1" x14ac:dyDescent="0.45">
      <c r="A133" s="9">
        <v>43961</v>
      </c>
      <c r="B133" s="4" t="s">
        <v>14</v>
      </c>
      <c r="C133" s="4">
        <v>287206.5</v>
      </c>
      <c r="D133" s="4">
        <v>29536176.10605</v>
      </c>
      <c r="E133" s="3"/>
      <c r="F133" s="3"/>
      <c r="G133" s="3"/>
    </row>
    <row r="134" spans="1:7" ht="14.25" customHeight="1" x14ac:dyDescent="0.45">
      <c r="A134" s="8">
        <v>43959</v>
      </c>
      <c r="B134" s="2" t="s">
        <v>14</v>
      </c>
      <c r="C134" s="2">
        <v>370092</v>
      </c>
      <c r="D134" s="2">
        <v>38091556.5</v>
      </c>
      <c r="E134" s="3"/>
      <c r="F134" s="3"/>
      <c r="G134" s="3"/>
    </row>
    <row r="135" spans="1:7" ht="14.25" customHeight="1" x14ac:dyDescent="0.45">
      <c r="A135" s="9">
        <v>43958</v>
      </c>
      <c r="B135" s="4" t="s">
        <v>14</v>
      </c>
      <c r="C135" s="4">
        <v>247813.5</v>
      </c>
      <c r="D135" s="4">
        <v>25325271</v>
      </c>
      <c r="E135" s="3"/>
      <c r="F135" s="3"/>
      <c r="G135" s="3"/>
    </row>
    <row r="136" spans="1:7" ht="14.25" customHeight="1" x14ac:dyDescent="0.45">
      <c r="A136" s="8">
        <v>43975</v>
      </c>
      <c r="B136" s="2" t="s">
        <v>14</v>
      </c>
      <c r="C136" s="2">
        <v>287740.5</v>
      </c>
      <c r="D136" s="2">
        <v>28188534</v>
      </c>
      <c r="E136" s="3"/>
      <c r="F136" s="3"/>
      <c r="G136" s="3"/>
    </row>
    <row r="137" spans="1:7" ht="14.25" customHeight="1" x14ac:dyDescent="0.45">
      <c r="A137" s="9">
        <v>43967</v>
      </c>
      <c r="B137" s="4" t="s">
        <v>15</v>
      </c>
      <c r="C137" s="4">
        <v>408810</v>
      </c>
      <c r="D137" s="4">
        <v>42323631</v>
      </c>
      <c r="E137" s="3"/>
      <c r="F137" s="3"/>
      <c r="G137" s="3"/>
    </row>
    <row r="138" spans="1:7" ht="14.25" customHeight="1" x14ac:dyDescent="0.45">
      <c r="A138" s="8">
        <v>43970</v>
      </c>
      <c r="B138" s="2" t="s">
        <v>15</v>
      </c>
      <c r="C138" s="2">
        <v>362536.5</v>
      </c>
      <c r="D138" s="2">
        <v>37023243</v>
      </c>
      <c r="E138" s="3"/>
      <c r="F138" s="3"/>
      <c r="G138" s="3"/>
    </row>
    <row r="139" spans="1:7" ht="14.25" customHeight="1" x14ac:dyDescent="0.45">
      <c r="A139" s="9">
        <v>43968</v>
      </c>
      <c r="B139" s="4" t="s">
        <v>15</v>
      </c>
      <c r="C139" s="4">
        <v>357072</v>
      </c>
      <c r="D139" s="4">
        <v>36834567</v>
      </c>
      <c r="E139" s="3"/>
      <c r="F139" s="3"/>
      <c r="G139" s="3"/>
    </row>
    <row r="140" spans="1:7" ht="14.25" customHeight="1" x14ac:dyDescent="0.45">
      <c r="A140" s="8">
        <v>43960</v>
      </c>
      <c r="B140" s="2" t="s">
        <v>15</v>
      </c>
      <c r="C140" s="2">
        <v>359214</v>
      </c>
      <c r="D140" s="2">
        <v>38693427</v>
      </c>
      <c r="E140" s="3"/>
      <c r="F140" s="3"/>
      <c r="G140" s="3"/>
    </row>
    <row r="141" spans="1:7" ht="14.25" customHeight="1" x14ac:dyDescent="0.45">
      <c r="A141" s="9">
        <v>43955</v>
      </c>
      <c r="B141" s="4" t="s">
        <v>15</v>
      </c>
      <c r="C141" s="4">
        <v>360255</v>
      </c>
      <c r="D141" s="4">
        <v>38406954</v>
      </c>
      <c r="E141" s="3"/>
      <c r="F141" s="3"/>
      <c r="G141" s="3"/>
    </row>
    <row r="142" spans="1:7" ht="14.25" customHeight="1" x14ac:dyDescent="0.45">
      <c r="A142" s="8">
        <v>43950</v>
      </c>
      <c r="B142" s="2" t="s">
        <v>15</v>
      </c>
      <c r="C142" s="2">
        <v>387220.5</v>
      </c>
      <c r="D142" s="2">
        <v>41559384</v>
      </c>
      <c r="E142" s="3"/>
      <c r="F142" s="3"/>
      <c r="G142" s="3"/>
    </row>
    <row r="143" spans="1:7" ht="14.25" customHeight="1" x14ac:dyDescent="0.45">
      <c r="A143" s="9">
        <v>43953</v>
      </c>
      <c r="B143" s="4" t="s">
        <v>15</v>
      </c>
      <c r="C143" s="4">
        <v>296580</v>
      </c>
      <c r="D143" s="4">
        <v>31843737</v>
      </c>
      <c r="E143" s="3"/>
      <c r="F143" s="3"/>
      <c r="G143" s="3"/>
    </row>
    <row r="144" spans="1:7" ht="14.25" customHeight="1" x14ac:dyDescent="0.45">
      <c r="A144" s="8">
        <v>43977</v>
      </c>
      <c r="B144" s="2" t="s">
        <v>15</v>
      </c>
      <c r="C144" s="2">
        <v>369861</v>
      </c>
      <c r="D144" s="2">
        <v>38365960.5</v>
      </c>
      <c r="E144" s="3"/>
      <c r="F144" s="3"/>
      <c r="G144" s="3"/>
    </row>
    <row r="145" spans="1:7" ht="14.25" customHeight="1" x14ac:dyDescent="0.45">
      <c r="A145" s="9">
        <v>43952</v>
      </c>
      <c r="B145" s="4" t="s">
        <v>15</v>
      </c>
      <c r="C145" s="4">
        <v>372504</v>
      </c>
      <c r="D145" s="4">
        <v>40077193.5</v>
      </c>
      <c r="E145" s="3"/>
      <c r="F145" s="3"/>
      <c r="G145" s="3"/>
    </row>
    <row r="146" spans="1:7" ht="14.25" customHeight="1" x14ac:dyDescent="0.45">
      <c r="A146" s="8">
        <v>43963</v>
      </c>
      <c r="B146" s="2" t="s">
        <v>15</v>
      </c>
      <c r="C146" s="2">
        <v>373392</v>
      </c>
      <c r="D146" s="2">
        <v>39578577</v>
      </c>
      <c r="E146" s="3"/>
      <c r="F146" s="3"/>
      <c r="G146" s="3"/>
    </row>
    <row r="147" spans="1:7" ht="14.25" customHeight="1" x14ac:dyDescent="0.45">
      <c r="A147" s="9">
        <v>43972</v>
      </c>
      <c r="B147" s="4" t="s">
        <v>15</v>
      </c>
      <c r="C147" s="4">
        <v>378043.5</v>
      </c>
      <c r="D147" s="4">
        <v>37902156.57</v>
      </c>
      <c r="E147" s="3"/>
      <c r="F147" s="3"/>
      <c r="G147" s="3"/>
    </row>
    <row r="148" spans="1:7" ht="14.25" customHeight="1" x14ac:dyDescent="0.45">
      <c r="A148" s="8">
        <v>43971</v>
      </c>
      <c r="B148" s="2" t="s">
        <v>15</v>
      </c>
      <c r="C148" s="2">
        <v>388668</v>
      </c>
      <c r="D148" s="2">
        <v>39639309</v>
      </c>
      <c r="E148" s="3"/>
      <c r="F148" s="3"/>
      <c r="G148" s="3"/>
    </row>
    <row r="149" spans="1:7" ht="14.25" customHeight="1" x14ac:dyDescent="0.45">
      <c r="A149" s="9">
        <v>43956</v>
      </c>
      <c r="B149" s="4" t="s">
        <v>15</v>
      </c>
      <c r="C149" s="4">
        <v>333792</v>
      </c>
      <c r="D149" s="4">
        <v>35671734</v>
      </c>
      <c r="E149" s="3"/>
      <c r="F149" s="3"/>
      <c r="G149" s="3"/>
    </row>
    <row r="150" spans="1:7" ht="14.25" customHeight="1" x14ac:dyDescent="0.45">
      <c r="A150" s="8">
        <v>43949</v>
      </c>
      <c r="B150" s="2" t="s">
        <v>15</v>
      </c>
      <c r="C150" s="2">
        <v>376060.5</v>
      </c>
      <c r="D150" s="2">
        <v>39918028.5</v>
      </c>
      <c r="E150" s="3"/>
      <c r="F150" s="3"/>
      <c r="G150" s="3"/>
    </row>
    <row r="151" spans="1:7" ht="14.25" customHeight="1" x14ac:dyDescent="0.45">
      <c r="A151" s="9">
        <v>43964</v>
      </c>
      <c r="B151" s="4" t="s">
        <v>15</v>
      </c>
      <c r="C151" s="4">
        <v>350068.5</v>
      </c>
      <c r="D151" s="4">
        <v>37197115.5</v>
      </c>
      <c r="E151" s="3"/>
      <c r="F151" s="3"/>
      <c r="G151" s="3"/>
    </row>
    <row r="152" spans="1:7" ht="14.25" customHeight="1" x14ac:dyDescent="0.45">
      <c r="A152" s="8">
        <v>43982</v>
      </c>
      <c r="B152" s="2" t="s">
        <v>14</v>
      </c>
      <c r="C152" s="2">
        <v>294337.5</v>
      </c>
      <c r="D152" s="2">
        <v>29327766</v>
      </c>
      <c r="E152" s="3"/>
      <c r="F152" s="3"/>
      <c r="G152" s="3"/>
    </row>
    <row r="153" spans="1:7" ht="14.25" customHeight="1" x14ac:dyDescent="0.45">
      <c r="A153" s="9">
        <v>43954</v>
      </c>
      <c r="B153" s="4" t="s">
        <v>15</v>
      </c>
      <c r="C153" s="4">
        <v>342666</v>
      </c>
      <c r="D153" s="4">
        <v>36631999.5</v>
      </c>
      <c r="E153" s="3"/>
      <c r="F153" s="3"/>
      <c r="G153" s="3"/>
    </row>
    <row r="154" spans="1:7" ht="14.25" customHeight="1" x14ac:dyDescent="0.45">
      <c r="A154" s="8">
        <v>43981</v>
      </c>
      <c r="B154" s="2" t="s">
        <v>14</v>
      </c>
      <c r="C154" s="2">
        <v>364882.5</v>
      </c>
      <c r="D154" s="2">
        <v>35724493.5</v>
      </c>
      <c r="E154" s="3"/>
      <c r="F154" s="3"/>
      <c r="G154" s="3"/>
    </row>
    <row r="155" spans="1:7" ht="14.25" customHeight="1" x14ac:dyDescent="0.45">
      <c r="A155" s="9">
        <v>43957</v>
      </c>
      <c r="B155" s="4" t="s">
        <v>15</v>
      </c>
      <c r="C155" s="4">
        <v>355278</v>
      </c>
      <c r="D155" s="4">
        <v>38092344</v>
      </c>
      <c r="E155" s="3"/>
      <c r="F155" s="3"/>
      <c r="G155" s="3"/>
    </row>
    <row r="156" spans="1:7" ht="14.25" customHeight="1" x14ac:dyDescent="0.45">
      <c r="A156" s="8">
        <v>43974</v>
      </c>
      <c r="B156" s="2" t="s">
        <v>15</v>
      </c>
      <c r="C156" s="2">
        <v>456885</v>
      </c>
      <c r="D156" s="2">
        <v>46408080</v>
      </c>
      <c r="E156" s="3"/>
      <c r="F156" s="3"/>
      <c r="G156" s="3"/>
    </row>
    <row r="157" spans="1:7" ht="14.25" customHeight="1" x14ac:dyDescent="0.45">
      <c r="A157" s="9">
        <v>43979</v>
      </c>
      <c r="B157" s="4" t="s">
        <v>14</v>
      </c>
      <c r="C157" s="4">
        <v>278491.5</v>
      </c>
      <c r="D157" s="4">
        <v>28151004.75</v>
      </c>
      <c r="E157" s="3"/>
      <c r="F157" s="3"/>
      <c r="G157" s="3"/>
    </row>
    <row r="158" spans="1:7" ht="14.25" customHeight="1" x14ac:dyDescent="0.45">
      <c r="A158" s="8">
        <v>43976</v>
      </c>
      <c r="B158" s="2" t="s">
        <v>15</v>
      </c>
      <c r="C158" s="2">
        <v>349734</v>
      </c>
      <c r="D158" s="2">
        <v>36883428</v>
      </c>
      <c r="E158" s="3"/>
      <c r="F158" s="3"/>
      <c r="G158" s="3"/>
    </row>
    <row r="159" spans="1:7" ht="14.25" customHeight="1" x14ac:dyDescent="0.45">
      <c r="A159" s="9">
        <v>43951</v>
      </c>
      <c r="B159" s="4" t="s">
        <v>15</v>
      </c>
      <c r="C159" s="4">
        <v>401580</v>
      </c>
      <c r="D159" s="4">
        <v>43028734.5</v>
      </c>
      <c r="E159" s="3"/>
      <c r="F159" s="3"/>
      <c r="G159" s="3"/>
    </row>
    <row r="160" spans="1:7" ht="14.25" customHeight="1" x14ac:dyDescent="0.45">
      <c r="A160" s="8">
        <v>43961</v>
      </c>
      <c r="B160" s="2" t="s">
        <v>15</v>
      </c>
      <c r="C160" s="2">
        <v>368649</v>
      </c>
      <c r="D160" s="2">
        <v>39010875</v>
      </c>
      <c r="E160" s="3"/>
      <c r="F160" s="3"/>
      <c r="G160" s="3"/>
    </row>
    <row r="161" spans="1:7" ht="14.25" customHeight="1" x14ac:dyDescent="0.45">
      <c r="A161" s="9">
        <v>43959</v>
      </c>
      <c r="B161" s="4" t="s">
        <v>15</v>
      </c>
      <c r="C161" s="4">
        <v>463530</v>
      </c>
      <c r="D161" s="4">
        <v>49123180.5</v>
      </c>
      <c r="E161" s="3"/>
      <c r="F161" s="3"/>
      <c r="G161" s="3"/>
    </row>
    <row r="162" spans="1:7" ht="14.25" customHeight="1" x14ac:dyDescent="0.45">
      <c r="A162" s="8">
        <v>43958</v>
      </c>
      <c r="B162" s="2" t="s">
        <v>15</v>
      </c>
      <c r="C162" s="2">
        <v>319110</v>
      </c>
      <c r="D162" s="2">
        <v>33763989</v>
      </c>
      <c r="E162" s="3"/>
      <c r="F162" s="3"/>
      <c r="G162" s="3"/>
    </row>
    <row r="163" spans="1:7" ht="14.25" customHeight="1" x14ac:dyDescent="0.45">
      <c r="A163" s="9">
        <v>43975</v>
      </c>
      <c r="B163" s="4" t="s">
        <v>15</v>
      </c>
      <c r="C163" s="4">
        <v>375744</v>
      </c>
      <c r="D163" s="4">
        <v>38191381.5</v>
      </c>
      <c r="E163" s="3"/>
      <c r="F163" s="3"/>
      <c r="G163" s="3"/>
    </row>
    <row r="164" spans="1:7" ht="14.25" customHeight="1" x14ac:dyDescent="0.45">
      <c r="A164" s="8">
        <v>43967</v>
      </c>
      <c r="B164" s="2" t="s">
        <v>16</v>
      </c>
      <c r="C164" s="2">
        <v>81331.5</v>
      </c>
      <c r="D164" s="2">
        <v>6652179</v>
      </c>
      <c r="E164" s="3"/>
      <c r="F164" s="3"/>
      <c r="G164" s="3"/>
    </row>
    <row r="165" spans="1:7" ht="14.25" customHeight="1" x14ac:dyDescent="0.45">
      <c r="A165" s="9">
        <v>43970</v>
      </c>
      <c r="B165" s="4" t="s">
        <v>16</v>
      </c>
      <c r="C165" s="4">
        <v>75796.5</v>
      </c>
      <c r="D165" s="4">
        <v>6173463</v>
      </c>
      <c r="E165" s="3"/>
      <c r="F165" s="3"/>
      <c r="G165" s="3"/>
    </row>
    <row r="166" spans="1:7" ht="14.25" customHeight="1" x14ac:dyDescent="0.45">
      <c r="A166" s="8">
        <v>43968</v>
      </c>
      <c r="B166" s="2" t="s">
        <v>16</v>
      </c>
      <c r="C166" s="2">
        <v>72861</v>
      </c>
      <c r="D166" s="2">
        <v>5952802.5</v>
      </c>
      <c r="E166" s="3"/>
      <c r="F166" s="3"/>
      <c r="G166" s="3"/>
    </row>
    <row r="167" spans="1:7" ht="14.25" customHeight="1" x14ac:dyDescent="0.45">
      <c r="A167" s="9">
        <v>43960</v>
      </c>
      <c r="B167" s="4" t="s">
        <v>16</v>
      </c>
      <c r="C167" s="4">
        <v>83373</v>
      </c>
      <c r="D167" s="4">
        <v>7253427</v>
      </c>
      <c r="E167" s="3"/>
      <c r="F167" s="3"/>
      <c r="G167" s="3"/>
    </row>
    <row r="168" spans="1:7" ht="14.25" customHeight="1" x14ac:dyDescent="0.45">
      <c r="A168" s="8">
        <v>43955</v>
      </c>
      <c r="B168" s="2" t="s">
        <v>16</v>
      </c>
      <c r="C168" s="2">
        <v>64108.5</v>
      </c>
      <c r="D168" s="2">
        <v>5561452.5</v>
      </c>
      <c r="E168" s="3"/>
      <c r="F168" s="3"/>
      <c r="G168" s="3"/>
    </row>
    <row r="169" spans="1:7" ht="14.25" customHeight="1" x14ac:dyDescent="0.45">
      <c r="A169" s="9">
        <v>43950</v>
      </c>
      <c r="B169" s="4" t="s">
        <v>16</v>
      </c>
      <c r="C169" s="4">
        <v>74707.5</v>
      </c>
      <c r="D169" s="4">
        <v>6454458</v>
      </c>
      <c r="E169" s="3"/>
      <c r="F169" s="3"/>
      <c r="G169" s="3"/>
    </row>
    <row r="170" spans="1:7" ht="14.25" customHeight="1" x14ac:dyDescent="0.45">
      <c r="A170" s="8">
        <v>43953</v>
      </c>
      <c r="B170" s="2" t="s">
        <v>16</v>
      </c>
      <c r="C170" s="2">
        <v>46216.5</v>
      </c>
      <c r="D170" s="2">
        <v>4118251.5</v>
      </c>
      <c r="E170" s="3"/>
      <c r="F170" s="3"/>
      <c r="G170" s="3"/>
    </row>
    <row r="171" spans="1:7" ht="14.25" customHeight="1" x14ac:dyDescent="0.45">
      <c r="A171" s="9">
        <v>43977</v>
      </c>
      <c r="B171" s="4" t="s">
        <v>16</v>
      </c>
      <c r="C171" s="4">
        <v>67726.5</v>
      </c>
      <c r="D171" s="4">
        <v>5864989.5</v>
      </c>
      <c r="E171" s="3"/>
      <c r="F171" s="3"/>
      <c r="G171" s="3"/>
    </row>
    <row r="172" spans="1:7" ht="14.25" customHeight="1" x14ac:dyDescent="0.45">
      <c r="A172" s="8">
        <v>43952</v>
      </c>
      <c r="B172" s="2" t="s">
        <v>16</v>
      </c>
      <c r="C172" s="2">
        <v>82228.5</v>
      </c>
      <c r="D172" s="2">
        <v>7032225</v>
      </c>
      <c r="E172" s="3"/>
      <c r="F172" s="3"/>
      <c r="G172" s="3"/>
    </row>
    <row r="173" spans="1:7" ht="14.25" customHeight="1" x14ac:dyDescent="0.45">
      <c r="A173" s="9">
        <v>43963</v>
      </c>
      <c r="B173" s="4" t="s">
        <v>16</v>
      </c>
      <c r="C173" s="4">
        <v>64390.5</v>
      </c>
      <c r="D173" s="4">
        <v>5523145.5</v>
      </c>
      <c r="E173" s="3"/>
      <c r="F173" s="3"/>
      <c r="G173" s="3"/>
    </row>
    <row r="174" spans="1:7" ht="14.25" customHeight="1" x14ac:dyDescent="0.45">
      <c r="A174" s="8">
        <v>43972</v>
      </c>
      <c r="B174" s="2" t="s">
        <v>16</v>
      </c>
      <c r="C174" s="2">
        <v>73126.5</v>
      </c>
      <c r="D174" s="2">
        <v>5864085</v>
      </c>
      <c r="E174" s="3"/>
      <c r="F174" s="3"/>
      <c r="G174" s="3"/>
    </row>
    <row r="175" spans="1:7" ht="14.25" customHeight="1" x14ac:dyDescent="0.45">
      <c r="A175" s="9">
        <v>43971</v>
      </c>
      <c r="B175" s="4" t="s">
        <v>16</v>
      </c>
      <c r="C175" s="4">
        <v>99631.5</v>
      </c>
      <c r="D175" s="4">
        <v>7121946</v>
      </c>
      <c r="E175" s="3"/>
      <c r="F175" s="3"/>
      <c r="G175" s="3"/>
    </row>
    <row r="176" spans="1:7" ht="14.25" customHeight="1" x14ac:dyDescent="0.45">
      <c r="A176" s="8">
        <v>43956</v>
      </c>
      <c r="B176" s="2" t="s">
        <v>16</v>
      </c>
      <c r="C176" s="2">
        <v>66396</v>
      </c>
      <c r="D176" s="2">
        <v>5770539</v>
      </c>
      <c r="E176" s="3"/>
      <c r="F176" s="3"/>
      <c r="G176" s="3"/>
    </row>
    <row r="177" spans="1:7" ht="14.25" customHeight="1" x14ac:dyDescent="0.45">
      <c r="A177" s="9">
        <v>43949</v>
      </c>
      <c r="B177" s="4" t="s">
        <v>16</v>
      </c>
      <c r="C177" s="4">
        <v>73147.5</v>
      </c>
      <c r="D177" s="4">
        <v>6288246</v>
      </c>
      <c r="E177" s="3"/>
      <c r="F177" s="3"/>
      <c r="G177" s="3"/>
    </row>
    <row r="178" spans="1:7" ht="14.25" customHeight="1" x14ac:dyDescent="0.45">
      <c r="A178" s="8">
        <v>43964</v>
      </c>
      <c r="B178" s="2" t="s">
        <v>16</v>
      </c>
      <c r="C178" s="2">
        <v>73062</v>
      </c>
      <c r="D178" s="2">
        <v>6333828</v>
      </c>
      <c r="E178" s="3"/>
      <c r="F178" s="3"/>
      <c r="G178" s="3"/>
    </row>
    <row r="179" spans="1:7" ht="14.25" customHeight="1" x14ac:dyDescent="0.45">
      <c r="A179" s="9">
        <v>43982</v>
      </c>
      <c r="B179" s="4" t="s">
        <v>15</v>
      </c>
      <c r="C179" s="4">
        <v>379663.5</v>
      </c>
      <c r="D179" s="4">
        <v>39380178</v>
      </c>
      <c r="E179" s="3"/>
      <c r="F179" s="3"/>
      <c r="G179" s="3"/>
    </row>
    <row r="180" spans="1:7" ht="14.25" customHeight="1" x14ac:dyDescent="0.45">
      <c r="A180" s="8">
        <v>43954</v>
      </c>
      <c r="B180" s="2" t="s">
        <v>16</v>
      </c>
      <c r="C180" s="2">
        <v>70581</v>
      </c>
      <c r="D180" s="2">
        <v>6221320.5</v>
      </c>
      <c r="E180" s="3"/>
      <c r="F180" s="3"/>
      <c r="G180" s="3"/>
    </row>
    <row r="181" spans="1:7" ht="14.25" customHeight="1" x14ac:dyDescent="0.45">
      <c r="A181" s="9">
        <v>43981</v>
      </c>
      <c r="B181" s="4" t="s">
        <v>15</v>
      </c>
      <c r="C181" s="4">
        <v>453123</v>
      </c>
      <c r="D181" s="4">
        <v>46370904</v>
      </c>
      <c r="E181" s="3"/>
      <c r="F181" s="3"/>
      <c r="G181" s="3"/>
    </row>
    <row r="182" spans="1:7" ht="14.25" customHeight="1" x14ac:dyDescent="0.45">
      <c r="A182" s="8">
        <v>43957</v>
      </c>
      <c r="B182" s="2" t="s">
        <v>16</v>
      </c>
      <c r="C182" s="2">
        <v>63012</v>
      </c>
      <c r="D182" s="2">
        <v>5454121.5</v>
      </c>
      <c r="E182" s="3"/>
      <c r="F182" s="3"/>
      <c r="G182" s="3"/>
    </row>
    <row r="183" spans="1:7" ht="14.25" customHeight="1" x14ac:dyDescent="0.45">
      <c r="A183" s="9">
        <v>43974</v>
      </c>
      <c r="B183" s="4" t="s">
        <v>16</v>
      </c>
      <c r="C183" s="4">
        <v>89556</v>
      </c>
      <c r="D183" s="4">
        <v>7173117</v>
      </c>
      <c r="E183" s="3"/>
      <c r="F183" s="3"/>
      <c r="G183" s="3"/>
    </row>
    <row r="184" spans="1:7" ht="14.25" customHeight="1" x14ac:dyDescent="0.45">
      <c r="A184" s="8">
        <v>43979</v>
      </c>
      <c r="B184" s="2" t="s">
        <v>15</v>
      </c>
      <c r="C184" s="2">
        <v>364638</v>
      </c>
      <c r="D184" s="2">
        <v>37947688.5</v>
      </c>
      <c r="E184" s="3"/>
      <c r="F184" s="3"/>
      <c r="G184" s="3"/>
    </row>
    <row r="185" spans="1:7" ht="14.25" customHeight="1" x14ac:dyDescent="0.45">
      <c r="A185" s="9">
        <v>43976</v>
      </c>
      <c r="B185" s="4" t="s">
        <v>16</v>
      </c>
      <c r="C185" s="4">
        <v>66316.5</v>
      </c>
      <c r="D185" s="4">
        <v>5704650</v>
      </c>
      <c r="E185" s="3"/>
      <c r="F185" s="3"/>
      <c r="G185" s="3"/>
    </row>
    <row r="186" spans="1:7" ht="14.25" customHeight="1" x14ac:dyDescent="0.45">
      <c r="A186" s="8">
        <v>43951</v>
      </c>
      <c r="B186" s="2" t="s">
        <v>16</v>
      </c>
      <c r="C186" s="2">
        <v>78235.5</v>
      </c>
      <c r="D186" s="2">
        <v>6819594</v>
      </c>
      <c r="E186" s="3"/>
      <c r="F186" s="3"/>
      <c r="G186" s="3"/>
    </row>
    <row r="187" spans="1:7" ht="14.25" customHeight="1" x14ac:dyDescent="0.45">
      <c r="A187" s="9">
        <v>43961</v>
      </c>
      <c r="B187" s="4" t="s">
        <v>16</v>
      </c>
      <c r="C187" s="4">
        <v>88311</v>
      </c>
      <c r="D187" s="4">
        <v>7726069.5</v>
      </c>
      <c r="E187" s="3"/>
      <c r="F187" s="3"/>
      <c r="G187" s="3"/>
    </row>
    <row r="188" spans="1:7" ht="14.25" customHeight="1" x14ac:dyDescent="0.45">
      <c r="A188" s="8">
        <v>43959</v>
      </c>
      <c r="B188" s="2" t="s">
        <v>16</v>
      </c>
      <c r="C188" s="2">
        <v>61804.5</v>
      </c>
      <c r="D188" s="2">
        <v>5365708.5</v>
      </c>
      <c r="E188" s="3"/>
      <c r="F188" s="3"/>
      <c r="G188" s="3"/>
    </row>
    <row r="189" spans="1:7" ht="14.25" customHeight="1" x14ac:dyDescent="0.45">
      <c r="A189" s="9">
        <v>43958</v>
      </c>
      <c r="B189" s="4" t="s">
        <v>16</v>
      </c>
      <c r="C189" s="4">
        <v>71067</v>
      </c>
      <c r="D189" s="4">
        <v>6175837.5</v>
      </c>
      <c r="E189" s="3"/>
      <c r="F189" s="3"/>
      <c r="G189" s="3"/>
    </row>
    <row r="190" spans="1:7" ht="14.25" customHeight="1" x14ac:dyDescent="0.45">
      <c r="A190" s="8">
        <v>43975</v>
      </c>
      <c r="B190" s="2" t="s">
        <v>16</v>
      </c>
      <c r="C190" s="2">
        <v>74649</v>
      </c>
      <c r="D190" s="2">
        <v>6098236.5</v>
      </c>
      <c r="E190" s="3"/>
      <c r="F190" s="3"/>
      <c r="G190" s="3"/>
    </row>
    <row r="191" spans="1:7" ht="14.25" customHeight="1" x14ac:dyDescent="0.45">
      <c r="A191" s="9">
        <v>43967</v>
      </c>
      <c r="B191" s="4" t="s">
        <v>17</v>
      </c>
      <c r="C191" s="4">
        <v>44560.5</v>
      </c>
      <c r="D191" s="4">
        <v>4025148</v>
      </c>
      <c r="E191" s="3"/>
      <c r="F191" s="3"/>
      <c r="G191" s="3"/>
    </row>
    <row r="192" spans="1:7" ht="14.25" customHeight="1" x14ac:dyDescent="0.45">
      <c r="A192" s="8">
        <v>43970</v>
      </c>
      <c r="B192" s="2" t="s">
        <v>17</v>
      </c>
      <c r="C192" s="2">
        <v>38250</v>
      </c>
      <c r="D192" s="2">
        <v>3552937.5</v>
      </c>
      <c r="E192" s="3"/>
      <c r="F192" s="3"/>
      <c r="G192" s="3"/>
    </row>
    <row r="193" spans="1:7" ht="14.25" customHeight="1" x14ac:dyDescent="0.45">
      <c r="A193" s="9">
        <v>43968</v>
      </c>
      <c r="B193" s="4" t="s">
        <v>17</v>
      </c>
      <c r="C193" s="4">
        <v>34830</v>
      </c>
      <c r="D193" s="4">
        <v>3191155.5</v>
      </c>
      <c r="E193" s="3"/>
      <c r="F193" s="3"/>
      <c r="G193" s="3"/>
    </row>
    <row r="194" spans="1:7" ht="14.25" customHeight="1" x14ac:dyDescent="0.45">
      <c r="A194" s="8">
        <v>43960</v>
      </c>
      <c r="B194" s="2" t="s">
        <v>17</v>
      </c>
      <c r="C194" s="2">
        <v>32239.5</v>
      </c>
      <c r="D194" s="2">
        <v>3084892.5</v>
      </c>
      <c r="E194" s="3"/>
      <c r="F194" s="3"/>
      <c r="G194" s="3"/>
    </row>
    <row r="195" spans="1:7" ht="14.25" customHeight="1" x14ac:dyDescent="0.45">
      <c r="A195" s="9">
        <v>43955</v>
      </c>
      <c r="B195" s="4" t="s">
        <v>17</v>
      </c>
      <c r="C195" s="4">
        <v>30780</v>
      </c>
      <c r="D195" s="4">
        <v>2817853.5</v>
      </c>
      <c r="E195" s="3"/>
      <c r="F195" s="3"/>
      <c r="G195" s="3"/>
    </row>
    <row r="196" spans="1:7" ht="14.25" customHeight="1" x14ac:dyDescent="0.45">
      <c r="A196" s="8">
        <v>43950</v>
      </c>
      <c r="B196" s="2" t="s">
        <v>17</v>
      </c>
      <c r="C196" s="2">
        <v>29142</v>
      </c>
      <c r="D196" s="2">
        <v>2627595</v>
      </c>
      <c r="E196" s="3"/>
      <c r="F196" s="3"/>
      <c r="G196" s="3"/>
    </row>
    <row r="197" spans="1:7" ht="14.25" customHeight="1" x14ac:dyDescent="0.45">
      <c r="A197" s="9">
        <v>43953</v>
      </c>
      <c r="B197" s="4" t="s">
        <v>17</v>
      </c>
      <c r="C197" s="4">
        <v>26428.5</v>
      </c>
      <c r="D197" s="4">
        <v>2470465.5</v>
      </c>
      <c r="E197" s="3"/>
      <c r="F197" s="3"/>
      <c r="G197" s="3"/>
    </row>
    <row r="198" spans="1:7" ht="14.25" customHeight="1" x14ac:dyDescent="0.45">
      <c r="A198" s="8">
        <v>43977</v>
      </c>
      <c r="B198" s="2" t="s">
        <v>17</v>
      </c>
      <c r="C198" s="2">
        <v>40744.5</v>
      </c>
      <c r="D198" s="2">
        <v>3700311</v>
      </c>
      <c r="E198" s="3"/>
      <c r="F198" s="3"/>
      <c r="G198" s="3"/>
    </row>
    <row r="199" spans="1:7" ht="14.25" customHeight="1" x14ac:dyDescent="0.45">
      <c r="A199" s="9">
        <v>43952</v>
      </c>
      <c r="B199" s="4" t="s">
        <v>17</v>
      </c>
      <c r="C199" s="4">
        <v>46620</v>
      </c>
      <c r="D199" s="4">
        <v>4293241.5</v>
      </c>
      <c r="E199" s="3"/>
      <c r="F199" s="3"/>
      <c r="G199" s="3"/>
    </row>
    <row r="200" spans="1:7" ht="14.25" customHeight="1" x14ac:dyDescent="0.45">
      <c r="A200" s="8">
        <v>43963</v>
      </c>
      <c r="B200" s="2" t="s">
        <v>17</v>
      </c>
      <c r="C200" s="2">
        <v>32419.5</v>
      </c>
      <c r="D200" s="2">
        <v>3080614.5</v>
      </c>
      <c r="E200" s="3"/>
      <c r="F200" s="3"/>
      <c r="G200" s="3"/>
    </row>
    <row r="201" spans="1:7" ht="14.25" customHeight="1" x14ac:dyDescent="0.45">
      <c r="A201" s="9">
        <v>43972</v>
      </c>
      <c r="B201" s="4" t="s">
        <v>17</v>
      </c>
      <c r="C201" s="4">
        <v>40819.5</v>
      </c>
      <c r="D201" s="4">
        <v>3810394.5</v>
      </c>
      <c r="E201" s="3"/>
      <c r="F201" s="3"/>
      <c r="G201" s="3"/>
    </row>
    <row r="202" spans="1:7" ht="14.25" customHeight="1" x14ac:dyDescent="0.45">
      <c r="A202" s="8">
        <v>43971</v>
      </c>
      <c r="B202" s="2" t="s">
        <v>17</v>
      </c>
      <c r="C202" s="2">
        <v>41391</v>
      </c>
      <c r="D202" s="2">
        <v>3918987</v>
      </c>
      <c r="E202" s="3"/>
      <c r="F202" s="3"/>
      <c r="G202" s="3"/>
    </row>
    <row r="203" spans="1:7" ht="14.25" customHeight="1" x14ac:dyDescent="0.45">
      <c r="A203" s="9">
        <v>43956</v>
      </c>
      <c r="B203" s="4" t="s">
        <v>17</v>
      </c>
      <c r="C203" s="4">
        <v>29482.5</v>
      </c>
      <c r="D203" s="4">
        <v>2648688</v>
      </c>
      <c r="E203" s="3"/>
      <c r="F203" s="3"/>
      <c r="G203" s="3"/>
    </row>
    <row r="204" spans="1:7" ht="14.25" customHeight="1" x14ac:dyDescent="0.45">
      <c r="A204" s="8">
        <v>43949</v>
      </c>
      <c r="B204" s="2" t="s">
        <v>17</v>
      </c>
      <c r="C204" s="2">
        <v>32181</v>
      </c>
      <c r="D204" s="2">
        <v>2863600.5</v>
      </c>
      <c r="E204" s="3"/>
      <c r="F204" s="3"/>
      <c r="G204" s="3"/>
    </row>
    <row r="205" spans="1:7" ht="14.25" customHeight="1" x14ac:dyDescent="0.45">
      <c r="A205" s="9">
        <v>43964</v>
      </c>
      <c r="B205" s="4" t="s">
        <v>17</v>
      </c>
      <c r="C205" s="4">
        <v>35535</v>
      </c>
      <c r="D205" s="4">
        <v>3288069</v>
      </c>
      <c r="E205" s="3"/>
      <c r="F205" s="3"/>
      <c r="G205" s="3"/>
    </row>
    <row r="206" spans="1:7" ht="14.25" customHeight="1" x14ac:dyDescent="0.45">
      <c r="A206" s="8">
        <v>43982</v>
      </c>
      <c r="B206" s="2" t="s">
        <v>16</v>
      </c>
      <c r="C206" s="2">
        <v>76234.5</v>
      </c>
      <c r="D206" s="2">
        <v>6500848.5</v>
      </c>
      <c r="E206" s="3"/>
      <c r="F206" s="3"/>
      <c r="G206" s="3"/>
    </row>
    <row r="207" spans="1:7" ht="14.25" customHeight="1" x14ac:dyDescent="0.45">
      <c r="A207" s="9">
        <v>43954</v>
      </c>
      <c r="B207" s="4" t="s">
        <v>17</v>
      </c>
      <c r="C207" s="4">
        <v>29935.5</v>
      </c>
      <c r="D207" s="4">
        <v>2720002.5</v>
      </c>
      <c r="E207" s="3"/>
      <c r="F207" s="3"/>
      <c r="G207" s="3"/>
    </row>
    <row r="208" spans="1:7" ht="14.25" customHeight="1" x14ac:dyDescent="0.45">
      <c r="A208" s="8">
        <v>43981</v>
      </c>
      <c r="B208" s="2" t="s">
        <v>16</v>
      </c>
      <c r="C208" s="2">
        <v>106926</v>
      </c>
      <c r="D208" s="2">
        <v>9098386.5</v>
      </c>
      <c r="E208" s="3"/>
      <c r="F208" s="3"/>
      <c r="G208" s="3"/>
    </row>
    <row r="209" spans="1:7" ht="14.25" customHeight="1" x14ac:dyDescent="0.45">
      <c r="A209" s="9">
        <v>43957</v>
      </c>
      <c r="B209" s="4" t="s">
        <v>17</v>
      </c>
      <c r="C209" s="4">
        <v>30342</v>
      </c>
      <c r="D209" s="4">
        <v>2738127</v>
      </c>
      <c r="E209" s="3"/>
      <c r="F209" s="3"/>
      <c r="G209" s="3"/>
    </row>
    <row r="210" spans="1:7" ht="14.25" customHeight="1" x14ac:dyDescent="0.45">
      <c r="A210" s="8">
        <v>43974</v>
      </c>
      <c r="B210" s="2" t="s">
        <v>17</v>
      </c>
      <c r="C210" s="2">
        <v>42999</v>
      </c>
      <c r="D210" s="2">
        <v>3883215</v>
      </c>
      <c r="E210" s="3"/>
      <c r="F210" s="3"/>
      <c r="G210" s="3"/>
    </row>
    <row r="211" spans="1:7" ht="14.25" customHeight="1" x14ac:dyDescent="0.45">
      <c r="A211" s="9">
        <v>43979</v>
      </c>
      <c r="B211" s="4" t="s">
        <v>16</v>
      </c>
      <c r="C211" s="4">
        <v>69945</v>
      </c>
      <c r="D211" s="4">
        <v>6101931</v>
      </c>
      <c r="E211" s="3"/>
      <c r="F211" s="3"/>
      <c r="G211" s="3"/>
    </row>
    <row r="212" spans="1:7" ht="14.25" customHeight="1" x14ac:dyDescent="0.45">
      <c r="A212" s="8">
        <v>43976</v>
      </c>
      <c r="B212" s="2" t="s">
        <v>17</v>
      </c>
      <c r="C212" s="2">
        <v>38740.5</v>
      </c>
      <c r="D212" s="2">
        <v>3561655.5</v>
      </c>
      <c r="E212" s="3"/>
      <c r="F212" s="3"/>
      <c r="G212" s="3"/>
    </row>
    <row r="213" spans="1:7" ht="14.25" customHeight="1" x14ac:dyDescent="0.45">
      <c r="A213" s="9">
        <v>43951</v>
      </c>
      <c r="B213" s="4" t="s">
        <v>17</v>
      </c>
      <c r="C213" s="4">
        <v>31231.5</v>
      </c>
      <c r="D213" s="4">
        <v>2853310.5</v>
      </c>
      <c r="E213" s="3"/>
      <c r="F213" s="3"/>
      <c r="G213" s="3"/>
    </row>
    <row r="214" spans="1:7" ht="14.25" customHeight="1" x14ac:dyDescent="0.45">
      <c r="A214" s="8">
        <v>43961</v>
      </c>
      <c r="B214" s="2" t="s">
        <v>17</v>
      </c>
      <c r="C214" s="2">
        <v>37489.5</v>
      </c>
      <c r="D214" s="2">
        <v>3549097.5</v>
      </c>
      <c r="E214" s="3"/>
      <c r="F214" s="3"/>
      <c r="G214" s="3"/>
    </row>
    <row r="215" spans="1:7" ht="14.25" customHeight="1" x14ac:dyDescent="0.45">
      <c r="A215" s="9">
        <v>43959</v>
      </c>
      <c r="B215" s="4" t="s">
        <v>17</v>
      </c>
      <c r="C215" s="4">
        <v>34399.5</v>
      </c>
      <c r="D215" s="4">
        <v>3201358.5</v>
      </c>
      <c r="E215" s="3"/>
      <c r="F215" s="3"/>
      <c r="G215" s="3"/>
    </row>
    <row r="216" spans="1:7" ht="14.25" customHeight="1" x14ac:dyDescent="0.45">
      <c r="A216" s="8">
        <v>43958</v>
      </c>
      <c r="B216" s="2" t="s">
        <v>17</v>
      </c>
      <c r="C216" s="2">
        <v>32851.5</v>
      </c>
      <c r="D216" s="2">
        <v>2934504</v>
      </c>
      <c r="E216" s="3"/>
      <c r="F216" s="3"/>
      <c r="G216" s="3"/>
    </row>
    <row r="217" spans="1:7" ht="14.25" customHeight="1" x14ac:dyDescent="0.45">
      <c r="A217" s="9">
        <v>43975</v>
      </c>
      <c r="B217" s="4" t="s">
        <v>17</v>
      </c>
      <c r="C217" s="4">
        <v>38194.5</v>
      </c>
      <c r="D217" s="4">
        <v>3449302.5</v>
      </c>
      <c r="E217" s="3"/>
      <c r="F217" s="3"/>
      <c r="G217" s="3"/>
    </row>
    <row r="218" spans="1:7" ht="14.25" customHeight="1" x14ac:dyDescent="0.45">
      <c r="A218" s="8">
        <v>43982</v>
      </c>
      <c r="B218" s="2" t="s">
        <v>17</v>
      </c>
      <c r="C218" s="2">
        <v>42423</v>
      </c>
      <c r="D218" s="2">
        <v>3994153.5</v>
      </c>
      <c r="E218" s="3"/>
      <c r="F218" s="3"/>
      <c r="G218" s="3"/>
    </row>
    <row r="219" spans="1:7" ht="14.25" customHeight="1" x14ac:dyDescent="0.45">
      <c r="A219" s="9">
        <v>43981</v>
      </c>
      <c r="B219" s="4" t="s">
        <v>17</v>
      </c>
      <c r="C219" s="4">
        <v>48286.5</v>
      </c>
      <c r="D219" s="4">
        <v>4456441.5</v>
      </c>
      <c r="E219" s="3"/>
      <c r="F219" s="3"/>
      <c r="G219" s="3"/>
    </row>
    <row r="220" spans="1:7" ht="14.25" customHeight="1" x14ac:dyDescent="0.45">
      <c r="A220" s="8">
        <v>43979</v>
      </c>
      <c r="B220" s="2" t="s">
        <v>17</v>
      </c>
      <c r="C220" s="2">
        <v>41442</v>
      </c>
      <c r="D220" s="2">
        <v>3893680.5</v>
      </c>
      <c r="E220" s="3"/>
      <c r="F220" s="3"/>
      <c r="G220" s="3"/>
    </row>
    <row r="221" spans="1:7" ht="14.25" customHeight="1" x14ac:dyDescent="0.45">
      <c r="A221" s="9">
        <v>43967</v>
      </c>
      <c r="B221" s="4" t="s">
        <v>18</v>
      </c>
      <c r="C221" s="4">
        <v>18600</v>
      </c>
      <c r="D221" s="4">
        <v>1601425.5</v>
      </c>
      <c r="E221" s="3"/>
      <c r="F221" s="3"/>
      <c r="G221" s="3"/>
    </row>
    <row r="222" spans="1:7" ht="14.25" customHeight="1" x14ac:dyDescent="0.45">
      <c r="A222" s="8">
        <v>43970</v>
      </c>
      <c r="B222" s="2" t="s">
        <v>18</v>
      </c>
      <c r="C222" s="2">
        <v>16638</v>
      </c>
      <c r="D222" s="2">
        <v>1364847</v>
      </c>
      <c r="E222" s="3"/>
      <c r="F222" s="3"/>
      <c r="G222" s="3"/>
    </row>
    <row r="223" spans="1:7" ht="14.25" customHeight="1" x14ac:dyDescent="0.45">
      <c r="A223" s="9">
        <v>43968</v>
      </c>
      <c r="B223" s="4" t="s">
        <v>18</v>
      </c>
      <c r="C223" s="4">
        <v>15609</v>
      </c>
      <c r="D223" s="4">
        <v>1377577.5</v>
      </c>
      <c r="E223" s="3"/>
      <c r="F223" s="3"/>
      <c r="G223" s="3"/>
    </row>
    <row r="224" spans="1:7" ht="14.25" customHeight="1" x14ac:dyDescent="0.45">
      <c r="A224" s="8">
        <v>43960</v>
      </c>
      <c r="B224" s="2" t="s">
        <v>18</v>
      </c>
      <c r="C224" s="2">
        <v>13948.5</v>
      </c>
      <c r="D224" s="2">
        <v>1222932</v>
      </c>
      <c r="E224" s="3"/>
      <c r="F224" s="3"/>
      <c r="G224" s="3"/>
    </row>
    <row r="225" spans="1:7" ht="14.25" customHeight="1" x14ac:dyDescent="0.45">
      <c r="A225" s="9">
        <v>43955</v>
      </c>
      <c r="B225" s="4" t="s">
        <v>18</v>
      </c>
      <c r="C225" s="4">
        <v>12301.5</v>
      </c>
      <c r="D225" s="4">
        <v>1085211</v>
      </c>
      <c r="E225" s="3"/>
      <c r="F225" s="3"/>
      <c r="G225" s="3"/>
    </row>
    <row r="226" spans="1:7" ht="14.25" customHeight="1" x14ac:dyDescent="0.45">
      <c r="A226" s="8">
        <v>43950</v>
      </c>
      <c r="B226" s="2" t="s">
        <v>18</v>
      </c>
      <c r="C226" s="2">
        <v>13014</v>
      </c>
      <c r="D226" s="2">
        <v>1115992.5</v>
      </c>
      <c r="E226" s="3"/>
      <c r="F226" s="3"/>
      <c r="G226" s="3"/>
    </row>
    <row r="227" spans="1:7" ht="14.25" customHeight="1" x14ac:dyDescent="0.45">
      <c r="A227" s="9">
        <v>43953</v>
      </c>
      <c r="B227" s="4" t="s">
        <v>18</v>
      </c>
      <c r="C227" s="4">
        <v>12313.5</v>
      </c>
      <c r="D227" s="4">
        <v>1053220.5</v>
      </c>
      <c r="E227" s="3"/>
      <c r="F227" s="3"/>
      <c r="G227" s="3"/>
    </row>
    <row r="228" spans="1:7" ht="14.25" customHeight="1" x14ac:dyDescent="0.45">
      <c r="A228" s="8">
        <v>43977</v>
      </c>
      <c r="B228" s="2" t="s">
        <v>18</v>
      </c>
      <c r="C228" s="2">
        <v>17391</v>
      </c>
      <c r="D228" s="2">
        <v>1489132.5</v>
      </c>
      <c r="E228" s="3"/>
      <c r="F228" s="3"/>
      <c r="G228" s="3"/>
    </row>
    <row r="229" spans="1:7" ht="14.25" customHeight="1" x14ac:dyDescent="0.45">
      <c r="A229" s="9">
        <v>43952</v>
      </c>
      <c r="B229" s="4" t="s">
        <v>18</v>
      </c>
      <c r="C229" s="4">
        <v>17113.5</v>
      </c>
      <c r="D229" s="4">
        <v>1465842</v>
      </c>
      <c r="E229" s="3"/>
      <c r="F229" s="3"/>
      <c r="G229" s="3"/>
    </row>
    <row r="230" spans="1:7" ht="14.25" customHeight="1" x14ac:dyDescent="0.45">
      <c r="A230" s="8">
        <v>43963</v>
      </c>
      <c r="B230" s="2" t="s">
        <v>18</v>
      </c>
      <c r="C230" s="2">
        <v>12802.5</v>
      </c>
      <c r="D230" s="2">
        <v>1123830</v>
      </c>
      <c r="E230" s="3"/>
      <c r="F230" s="3"/>
      <c r="G230" s="3"/>
    </row>
    <row r="231" spans="1:7" ht="14.25" customHeight="1" x14ac:dyDescent="0.45">
      <c r="A231" s="9">
        <v>43972</v>
      </c>
      <c r="B231" s="4" t="s">
        <v>18</v>
      </c>
      <c r="C231" s="4">
        <v>16554</v>
      </c>
      <c r="D231" s="4">
        <v>1380751.5</v>
      </c>
      <c r="E231" s="3"/>
      <c r="F231" s="3"/>
      <c r="G231" s="3"/>
    </row>
    <row r="232" spans="1:7" ht="14.25" customHeight="1" x14ac:dyDescent="0.45">
      <c r="A232" s="8">
        <v>43971</v>
      </c>
      <c r="B232" s="2" t="s">
        <v>18</v>
      </c>
      <c r="C232" s="2">
        <v>17329.5</v>
      </c>
      <c r="D232" s="2">
        <v>1430254.5</v>
      </c>
      <c r="E232" s="3"/>
      <c r="F232" s="3"/>
      <c r="G232" s="3"/>
    </row>
    <row r="233" spans="1:7" ht="14.25" customHeight="1" x14ac:dyDescent="0.45">
      <c r="A233" s="9">
        <v>43956</v>
      </c>
      <c r="B233" s="4" t="s">
        <v>18</v>
      </c>
      <c r="C233" s="4">
        <v>15987</v>
      </c>
      <c r="D233" s="4">
        <v>1384179</v>
      </c>
      <c r="E233" s="3"/>
      <c r="F233" s="3"/>
      <c r="G233" s="3"/>
    </row>
    <row r="234" spans="1:7" ht="14.25" customHeight="1" x14ac:dyDescent="0.45">
      <c r="A234" s="8">
        <v>43949</v>
      </c>
      <c r="B234" s="2" t="s">
        <v>18</v>
      </c>
      <c r="C234" s="2">
        <v>13303.5</v>
      </c>
      <c r="D234" s="2">
        <v>1102887</v>
      </c>
      <c r="E234" s="3"/>
      <c r="F234" s="3"/>
      <c r="G234" s="3"/>
    </row>
    <row r="235" spans="1:7" ht="14.25" customHeight="1" x14ac:dyDescent="0.45">
      <c r="A235" s="9">
        <v>43964</v>
      </c>
      <c r="B235" s="4" t="s">
        <v>18</v>
      </c>
      <c r="C235" s="4">
        <v>14305.5</v>
      </c>
      <c r="D235" s="4">
        <v>1243507.5</v>
      </c>
      <c r="E235" s="3"/>
      <c r="F235" s="3"/>
      <c r="G235" s="3"/>
    </row>
    <row r="236" spans="1:7" ht="14.25" customHeight="1" x14ac:dyDescent="0.45">
      <c r="A236" s="8">
        <v>43954</v>
      </c>
      <c r="B236" s="2" t="s">
        <v>18</v>
      </c>
      <c r="C236" s="2">
        <v>12924</v>
      </c>
      <c r="D236" s="2">
        <v>1120009.5</v>
      </c>
      <c r="E236" s="3"/>
      <c r="F236" s="3"/>
      <c r="G236" s="3"/>
    </row>
    <row r="237" spans="1:7" ht="14.25" customHeight="1" x14ac:dyDescent="0.45">
      <c r="A237" s="9">
        <v>43957</v>
      </c>
      <c r="B237" s="4" t="s">
        <v>18</v>
      </c>
      <c r="C237" s="4">
        <v>14061</v>
      </c>
      <c r="D237" s="4">
        <v>1221057</v>
      </c>
      <c r="E237" s="3"/>
      <c r="F237" s="3"/>
      <c r="G237" s="3"/>
    </row>
    <row r="238" spans="1:7" ht="14.25" customHeight="1" x14ac:dyDescent="0.45">
      <c r="A238" s="8">
        <v>43974</v>
      </c>
      <c r="B238" s="2" t="s">
        <v>18</v>
      </c>
      <c r="C238" s="2">
        <v>21958.5</v>
      </c>
      <c r="D238" s="2">
        <v>1854001.5</v>
      </c>
      <c r="E238" s="3"/>
      <c r="F238" s="3"/>
      <c r="G238" s="3"/>
    </row>
    <row r="239" spans="1:7" ht="14.25" customHeight="1" x14ac:dyDescent="0.45">
      <c r="A239" s="9">
        <v>43976</v>
      </c>
      <c r="B239" s="4" t="s">
        <v>18</v>
      </c>
      <c r="C239" s="4">
        <v>17211</v>
      </c>
      <c r="D239" s="4">
        <v>1507867.5</v>
      </c>
      <c r="E239" s="3"/>
      <c r="F239" s="3"/>
      <c r="G239" s="3"/>
    </row>
    <row r="240" spans="1:7" ht="14.25" customHeight="1" x14ac:dyDescent="0.45">
      <c r="A240" s="8">
        <v>43951</v>
      </c>
      <c r="B240" s="2" t="s">
        <v>18</v>
      </c>
      <c r="C240" s="2">
        <v>12753</v>
      </c>
      <c r="D240" s="2">
        <v>1103068.5</v>
      </c>
      <c r="E240" s="3"/>
      <c r="F240" s="3"/>
      <c r="G240" s="3"/>
    </row>
    <row r="241" spans="1:7" ht="14.25" customHeight="1" x14ac:dyDescent="0.45">
      <c r="A241" s="9">
        <v>43961</v>
      </c>
      <c r="B241" s="4" t="s">
        <v>18</v>
      </c>
      <c r="C241" s="4">
        <v>16435.5</v>
      </c>
      <c r="D241" s="4">
        <v>1471537.5</v>
      </c>
      <c r="E241" s="3"/>
      <c r="F241" s="3"/>
      <c r="G241" s="3"/>
    </row>
    <row r="242" spans="1:7" ht="14.25" customHeight="1" x14ac:dyDescent="0.45">
      <c r="A242" s="8">
        <v>43959</v>
      </c>
      <c r="B242" s="2" t="s">
        <v>18</v>
      </c>
      <c r="C242" s="2">
        <v>14494.5</v>
      </c>
      <c r="D242" s="2">
        <v>1269786</v>
      </c>
      <c r="E242" s="3"/>
      <c r="F242" s="3"/>
      <c r="G242" s="3"/>
    </row>
    <row r="243" spans="1:7" ht="14.25" customHeight="1" x14ac:dyDescent="0.45">
      <c r="A243" s="9">
        <v>43958</v>
      </c>
      <c r="B243" s="4" t="s">
        <v>18</v>
      </c>
      <c r="C243" s="4">
        <v>12705</v>
      </c>
      <c r="D243" s="4">
        <v>1123894.5</v>
      </c>
      <c r="E243" s="3"/>
      <c r="F243" s="3"/>
      <c r="G243" s="3"/>
    </row>
    <row r="244" spans="1:7" ht="14.25" customHeight="1" x14ac:dyDescent="0.45">
      <c r="A244" s="8">
        <v>43975</v>
      </c>
      <c r="B244" s="2" t="s">
        <v>18</v>
      </c>
      <c r="C244" s="2">
        <v>18075</v>
      </c>
      <c r="D244" s="2">
        <v>1548099</v>
      </c>
      <c r="E244" s="3"/>
      <c r="F244" s="3"/>
      <c r="G244" s="3"/>
    </row>
    <row r="245" spans="1:7" ht="14.25" customHeight="1" x14ac:dyDescent="0.45">
      <c r="A245" s="9">
        <v>43967</v>
      </c>
      <c r="B245" s="4" t="s">
        <v>19</v>
      </c>
      <c r="C245" s="4">
        <v>13120.5</v>
      </c>
      <c r="D245" s="4">
        <v>1215033</v>
      </c>
      <c r="E245" s="3"/>
      <c r="F245" s="3"/>
      <c r="G245" s="3"/>
    </row>
    <row r="246" spans="1:7" ht="14.25" customHeight="1" x14ac:dyDescent="0.45">
      <c r="A246" s="8">
        <v>43970</v>
      </c>
      <c r="B246" s="2" t="s">
        <v>19</v>
      </c>
      <c r="C246" s="2">
        <v>16237.5</v>
      </c>
      <c r="D246" s="2">
        <v>1403047.5</v>
      </c>
      <c r="E246" s="3"/>
      <c r="F246" s="3"/>
      <c r="G246" s="3"/>
    </row>
    <row r="247" spans="1:7" ht="14.25" customHeight="1" x14ac:dyDescent="0.45">
      <c r="A247" s="9">
        <v>43968</v>
      </c>
      <c r="B247" s="4" t="s">
        <v>19</v>
      </c>
      <c r="C247" s="4">
        <v>11967</v>
      </c>
      <c r="D247" s="4">
        <v>1060489.5</v>
      </c>
      <c r="E247" s="3"/>
      <c r="F247" s="3"/>
      <c r="G247" s="3"/>
    </row>
    <row r="248" spans="1:7" ht="14.25" customHeight="1" x14ac:dyDescent="0.45">
      <c r="A248" s="8">
        <v>43960</v>
      </c>
      <c r="B248" s="2" t="s">
        <v>19</v>
      </c>
      <c r="C248" s="2">
        <v>12037.5</v>
      </c>
      <c r="D248" s="2">
        <v>1081216.5</v>
      </c>
      <c r="E248" s="3"/>
      <c r="F248" s="3"/>
      <c r="G248" s="3"/>
    </row>
    <row r="249" spans="1:7" ht="14.25" customHeight="1" x14ac:dyDescent="0.45">
      <c r="A249" s="9">
        <v>43955</v>
      </c>
      <c r="B249" s="4" t="s">
        <v>19</v>
      </c>
      <c r="C249" s="4">
        <v>7087.5</v>
      </c>
      <c r="D249" s="4">
        <v>610855.5</v>
      </c>
      <c r="E249" s="3"/>
      <c r="F249" s="3"/>
      <c r="G249" s="3"/>
    </row>
    <row r="250" spans="1:7" ht="14.25" customHeight="1" x14ac:dyDescent="0.45">
      <c r="A250" s="8">
        <v>43950</v>
      </c>
      <c r="B250" s="2" t="s">
        <v>20</v>
      </c>
      <c r="C250" s="2">
        <v>25816.5</v>
      </c>
      <c r="D250" s="2">
        <v>2360914.5</v>
      </c>
      <c r="E250" s="3"/>
      <c r="F250" s="3"/>
      <c r="G250" s="3"/>
    </row>
    <row r="251" spans="1:7" ht="14.25" customHeight="1" x14ac:dyDescent="0.45">
      <c r="A251" s="9">
        <v>43953</v>
      </c>
      <c r="B251" s="4" t="s">
        <v>19</v>
      </c>
      <c r="C251" s="4">
        <v>4624.5</v>
      </c>
      <c r="D251" s="4">
        <v>433243.5</v>
      </c>
      <c r="E251" s="3"/>
      <c r="F251" s="3"/>
      <c r="G251" s="3"/>
    </row>
    <row r="252" spans="1:7" ht="14.25" customHeight="1" x14ac:dyDescent="0.45">
      <c r="A252" s="8">
        <v>43977</v>
      </c>
      <c r="B252" s="2" t="s">
        <v>19</v>
      </c>
      <c r="C252" s="2">
        <v>12259.5</v>
      </c>
      <c r="D252" s="2">
        <v>1152054</v>
      </c>
      <c r="E252" s="3"/>
      <c r="F252" s="3"/>
      <c r="G252" s="3"/>
    </row>
    <row r="253" spans="1:7" ht="14.25" customHeight="1" x14ac:dyDescent="0.45">
      <c r="A253" s="9">
        <v>43952</v>
      </c>
      <c r="B253" s="4" t="s">
        <v>19</v>
      </c>
      <c r="C253" s="4">
        <v>5446.5</v>
      </c>
      <c r="D253" s="4">
        <v>505572</v>
      </c>
      <c r="E253" s="3"/>
      <c r="F253" s="3"/>
      <c r="G253" s="3"/>
    </row>
    <row r="254" spans="1:7" ht="14.25" customHeight="1" x14ac:dyDescent="0.45">
      <c r="A254" s="8">
        <v>43963</v>
      </c>
      <c r="B254" s="2" t="s">
        <v>19</v>
      </c>
      <c r="C254" s="2">
        <v>11296.5</v>
      </c>
      <c r="D254" s="2">
        <v>989632.5</v>
      </c>
      <c r="E254" s="3"/>
      <c r="F254" s="3"/>
      <c r="G254" s="3"/>
    </row>
    <row r="255" spans="1:7" ht="14.25" customHeight="1" x14ac:dyDescent="0.45">
      <c r="A255" s="9">
        <v>43972</v>
      </c>
      <c r="B255" s="4" t="s">
        <v>19</v>
      </c>
      <c r="C255" s="4">
        <v>12135</v>
      </c>
      <c r="D255" s="4">
        <v>1103623.5</v>
      </c>
      <c r="E255" s="3"/>
      <c r="F255" s="3"/>
      <c r="G255" s="3"/>
    </row>
    <row r="256" spans="1:7" ht="14.25" customHeight="1" x14ac:dyDescent="0.45">
      <c r="A256" s="8">
        <v>43971</v>
      </c>
      <c r="B256" s="2" t="s">
        <v>19</v>
      </c>
      <c r="C256" s="2">
        <v>12630</v>
      </c>
      <c r="D256" s="2">
        <v>1104858</v>
      </c>
      <c r="E256" s="3"/>
      <c r="F256" s="3"/>
      <c r="G256" s="3"/>
    </row>
    <row r="257" spans="1:7" ht="14.25" customHeight="1" x14ac:dyDescent="0.45">
      <c r="A257" s="9">
        <v>43956</v>
      </c>
      <c r="B257" s="4" t="s">
        <v>19</v>
      </c>
      <c r="C257" s="4">
        <v>8223</v>
      </c>
      <c r="D257" s="4">
        <v>694593</v>
      </c>
      <c r="E257" s="3"/>
      <c r="F257" s="3"/>
      <c r="G257" s="3"/>
    </row>
    <row r="258" spans="1:7" ht="14.25" customHeight="1" x14ac:dyDescent="0.45">
      <c r="A258" s="8">
        <v>43949</v>
      </c>
      <c r="B258" s="2" t="s">
        <v>20</v>
      </c>
      <c r="C258" s="2">
        <v>25149</v>
      </c>
      <c r="D258" s="2">
        <v>2277072</v>
      </c>
      <c r="E258" s="3"/>
      <c r="F258" s="3"/>
      <c r="G258" s="3"/>
    </row>
    <row r="259" spans="1:7" ht="14.25" customHeight="1" x14ac:dyDescent="0.45">
      <c r="A259" s="9">
        <v>43964</v>
      </c>
      <c r="B259" s="4" t="s">
        <v>19</v>
      </c>
      <c r="C259" s="4">
        <v>10401</v>
      </c>
      <c r="D259" s="4">
        <v>949912.5</v>
      </c>
      <c r="E259" s="3"/>
      <c r="F259" s="3"/>
      <c r="G259" s="3"/>
    </row>
    <row r="260" spans="1:7" ht="14.25" customHeight="1" x14ac:dyDescent="0.45">
      <c r="A260" s="8">
        <v>43982</v>
      </c>
      <c r="B260" s="2" t="s">
        <v>18</v>
      </c>
      <c r="C260" s="2">
        <v>17689.5</v>
      </c>
      <c r="D260" s="2">
        <v>1592119.5</v>
      </c>
      <c r="E260" s="3"/>
      <c r="F260" s="3"/>
      <c r="G260" s="3"/>
    </row>
    <row r="261" spans="1:7" ht="14.25" customHeight="1" x14ac:dyDescent="0.45">
      <c r="A261" s="9">
        <v>43954</v>
      </c>
      <c r="B261" s="4" t="s">
        <v>19</v>
      </c>
      <c r="C261" s="4">
        <v>8127</v>
      </c>
      <c r="D261" s="4">
        <v>665302.5</v>
      </c>
      <c r="E261" s="3"/>
      <c r="F261" s="3"/>
      <c r="G261" s="3"/>
    </row>
    <row r="262" spans="1:7" ht="14.25" customHeight="1" x14ac:dyDescent="0.45">
      <c r="A262" s="8">
        <v>43981</v>
      </c>
      <c r="B262" s="2" t="s">
        <v>18</v>
      </c>
      <c r="C262" s="2">
        <v>27250.5</v>
      </c>
      <c r="D262" s="2">
        <v>2457252</v>
      </c>
      <c r="E262" s="3"/>
      <c r="F262" s="3"/>
      <c r="G262" s="3"/>
    </row>
    <row r="263" spans="1:7" ht="14.25" customHeight="1" x14ac:dyDescent="0.45">
      <c r="A263" s="9">
        <v>43957</v>
      </c>
      <c r="B263" s="4" t="s">
        <v>19</v>
      </c>
      <c r="C263" s="4">
        <v>8464.5</v>
      </c>
      <c r="D263" s="4">
        <v>739291.5</v>
      </c>
      <c r="E263" s="3"/>
      <c r="F263" s="3"/>
      <c r="G263" s="3"/>
    </row>
    <row r="264" spans="1:7" ht="14.25" customHeight="1" x14ac:dyDescent="0.45">
      <c r="A264" s="8">
        <v>43974</v>
      </c>
      <c r="B264" s="2" t="s">
        <v>19</v>
      </c>
      <c r="C264" s="2">
        <v>14167.5</v>
      </c>
      <c r="D264" s="2">
        <v>1315075.5</v>
      </c>
      <c r="E264" s="3"/>
      <c r="F264" s="3"/>
      <c r="G264" s="3"/>
    </row>
    <row r="265" spans="1:7" ht="14.25" customHeight="1" x14ac:dyDescent="0.45">
      <c r="A265" s="9">
        <v>43979</v>
      </c>
      <c r="B265" s="4" t="s">
        <v>18</v>
      </c>
      <c r="C265" s="4">
        <v>16500</v>
      </c>
      <c r="D265" s="4">
        <v>1487928</v>
      </c>
      <c r="E265" s="3"/>
      <c r="F265" s="3"/>
      <c r="G265" s="3"/>
    </row>
    <row r="266" spans="1:7" ht="14.25" customHeight="1" x14ac:dyDescent="0.45">
      <c r="A266" s="8">
        <v>43976</v>
      </c>
      <c r="B266" s="2" t="s">
        <v>19</v>
      </c>
      <c r="C266" s="2">
        <v>13260</v>
      </c>
      <c r="D266" s="2">
        <v>1230687</v>
      </c>
      <c r="E266" s="3"/>
      <c r="F266" s="3"/>
      <c r="G266" s="3"/>
    </row>
    <row r="267" spans="1:7" ht="14.25" customHeight="1" x14ac:dyDescent="0.45">
      <c r="A267" s="9">
        <v>43951</v>
      </c>
      <c r="B267" s="4" t="s">
        <v>19</v>
      </c>
      <c r="C267" s="4">
        <v>4285.5</v>
      </c>
      <c r="D267" s="4">
        <v>404691</v>
      </c>
      <c r="E267" s="3"/>
      <c r="F267" s="3"/>
      <c r="G267" s="3"/>
    </row>
    <row r="268" spans="1:7" ht="14.25" customHeight="1" x14ac:dyDescent="0.45">
      <c r="A268" s="8">
        <v>43961</v>
      </c>
      <c r="B268" s="2" t="s">
        <v>19</v>
      </c>
      <c r="C268" s="2">
        <v>13440</v>
      </c>
      <c r="D268" s="2">
        <v>1198285.5</v>
      </c>
      <c r="E268" s="3"/>
      <c r="F268" s="3"/>
      <c r="G268" s="3"/>
    </row>
    <row r="269" spans="1:7" ht="14.25" customHeight="1" x14ac:dyDescent="0.45">
      <c r="A269" s="9">
        <v>43959</v>
      </c>
      <c r="B269" s="4" t="s">
        <v>19</v>
      </c>
      <c r="C269" s="4">
        <v>9058.5</v>
      </c>
      <c r="D269" s="4">
        <v>798759</v>
      </c>
      <c r="E269" s="3"/>
      <c r="F269" s="3"/>
      <c r="G269" s="3"/>
    </row>
    <row r="270" spans="1:7" ht="14.25" customHeight="1" x14ac:dyDescent="0.45">
      <c r="A270" s="8">
        <v>43958</v>
      </c>
      <c r="B270" s="2" t="s">
        <v>19</v>
      </c>
      <c r="C270" s="2">
        <v>8719.5</v>
      </c>
      <c r="D270" s="2">
        <v>769276.5</v>
      </c>
      <c r="E270" s="3"/>
      <c r="F270" s="3"/>
      <c r="G270" s="3"/>
    </row>
    <row r="271" spans="1:7" ht="14.25" customHeight="1" x14ac:dyDescent="0.45">
      <c r="A271" s="9">
        <v>43975</v>
      </c>
      <c r="B271" s="4" t="s">
        <v>19</v>
      </c>
      <c r="C271" s="4">
        <v>12666</v>
      </c>
      <c r="D271" s="4">
        <v>1184865</v>
      </c>
      <c r="E271" s="3"/>
      <c r="F271" s="3"/>
      <c r="G271" s="3"/>
    </row>
    <row r="272" spans="1:7" ht="14.25" customHeight="1" x14ac:dyDescent="0.45">
      <c r="A272" s="8">
        <v>43967</v>
      </c>
      <c r="B272" s="2" t="s">
        <v>20</v>
      </c>
      <c r="C272" s="2">
        <v>34563</v>
      </c>
      <c r="D272" s="2">
        <v>2922883.5</v>
      </c>
      <c r="E272" s="3"/>
      <c r="F272" s="3"/>
      <c r="G272" s="3"/>
    </row>
    <row r="273" spans="1:7" ht="14.25" customHeight="1" x14ac:dyDescent="0.45">
      <c r="A273" s="9">
        <v>43970</v>
      </c>
      <c r="B273" s="4" t="s">
        <v>20</v>
      </c>
      <c r="C273" s="4">
        <v>28882.5</v>
      </c>
      <c r="D273" s="4">
        <v>2446530</v>
      </c>
      <c r="E273" s="3"/>
      <c r="F273" s="3"/>
      <c r="G273" s="3"/>
    </row>
    <row r="274" spans="1:7" ht="14.25" customHeight="1" x14ac:dyDescent="0.45">
      <c r="A274" s="8">
        <v>43968</v>
      </c>
      <c r="B274" s="2" t="s">
        <v>20</v>
      </c>
      <c r="C274" s="2">
        <v>28275</v>
      </c>
      <c r="D274" s="2">
        <v>2435632.5</v>
      </c>
      <c r="E274" s="3"/>
      <c r="F274" s="3"/>
      <c r="G274" s="3"/>
    </row>
    <row r="275" spans="1:7" ht="14.25" customHeight="1" x14ac:dyDescent="0.45">
      <c r="A275" s="9">
        <v>43960</v>
      </c>
      <c r="B275" s="4" t="s">
        <v>20</v>
      </c>
      <c r="C275" s="4">
        <v>26271</v>
      </c>
      <c r="D275" s="4">
        <v>2384937</v>
      </c>
      <c r="E275" s="3"/>
      <c r="F275" s="3"/>
      <c r="G275" s="3"/>
    </row>
    <row r="276" spans="1:7" ht="14.25" customHeight="1" x14ac:dyDescent="0.45">
      <c r="A276" s="8">
        <v>43955</v>
      </c>
      <c r="B276" s="2" t="s">
        <v>20</v>
      </c>
      <c r="C276" s="2">
        <v>23587.5</v>
      </c>
      <c r="D276" s="2">
        <v>2155668</v>
      </c>
      <c r="E276" s="3"/>
      <c r="F276" s="3"/>
      <c r="G276" s="3"/>
    </row>
    <row r="277" spans="1:7" ht="14.25" customHeight="1" x14ac:dyDescent="0.45">
      <c r="A277" s="9">
        <v>43953</v>
      </c>
      <c r="B277" s="4" t="s">
        <v>20</v>
      </c>
      <c r="C277" s="4">
        <v>18427.5</v>
      </c>
      <c r="D277" s="4">
        <v>1682851.5</v>
      </c>
      <c r="E277" s="3"/>
      <c r="F277" s="3"/>
      <c r="G277" s="3"/>
    </row>
    <row r="278" spans="1:7" ht="14.25" customHeight="1" x14ac:dyDescent="0.45">
      <c r="A278" s="8">
        <v>43977</v>
      </c>
      <c r="B278" s="2" t="s">
        <v>20</v>
      </c>
      <c r="C278" s="2">
        <v>27156</v>
      </c>
      <c r="D278" s="2">
        <v>2410803</v>
      </c>
      <c r="E278" s="3"/>
      <c r="F278" s="3"/>
      <c r="G278" s="3"/>
    </row>
    <row r="279" spans="1:7" ht="14.25" customHeight="1" x14ac:dyDescent="0.45">
      <c r="A279" s="9">
        <v>43952</v>
      </c>
      <c r="B279" s="4" t="s">
        <v>20</v>
      </c>
      <c r="C279" s="4">
        <v>35190</v>
      </c>
      <c r="D279" s="4">
        <v>3168510</v>
      </c>
      <c r="E279" s="3"/>
      <c r="F279" s="3"/>
      <c r="G279" s="3"/>
    </row>
    <row r="280" spans="1:7" ht="14.25" customHeight="1" x14ac:dyDescent="0.45">
      <c r="A280" s="8">
        <v>43963</v>
      </c>
      <c r="B280" s="2" t="s">
        <v>20</v>
      </c>
      <c r="C280" s="2">
        <v>25483.5</v>
      </c>
      <c r="D280" s="2">
        <v>2243160</v>
      </c>
      <c r="E280" s="3"/>
      <c r="F280" s="3"/>
      <c r="G280" s="3"/>
    </row>
    <row r="281" spans="1:7" ht="14.25" customHeight="1" x14ac:dyDescent="0.45">
      <c r="A281" s="9">
        <v>43972</v>
      </c>
      <c r="B281" s="4" t="s">
        <v>20</v>
      </c>
      <c r="C281" s="4">
        <v>25362</v>
      </c>
      <c r="D281" s="4">
        <v>2198935.5</v>
      </c>
      <c r="E281" s="3"/>
      <c r="F281" s="3"/>
      <c r="G281" s="3"/>
    </row>
    <row r="282" spans="1:7" ht="14.25" customHeight="1" x14ac:dyDescent="0.45">
      <c r="A282" s="8">
        <v>43971</v>
      </c>
      <c r="B282" s="2" t="s">
        <v>20</v>
      </c>
      <c r="C282" s="2">
        <v>28849.5</v>
      </c>
      <c r="D282" s="2">
        <v>2520759</v>
      </c>
      <c r="E282" s="3"/>
      <c r="F282" s="3"/>
      <c r="G282" s="3"/>
    </row>
    <row r="283" spans="1:7" ht="14.25" customHeight="1" x14ac:dyDescent="0.45">
      <c r="A283" s="9">
        <v>43956</v>
      </c>
      <c r="B283" s="4" t="s">
        <v>20</v>
      </c>
      <c r="C283" s="4">
        <v>26367</v>
      </c>
      <c r="D283" s="4">
        <v>2380333.5</v>
      </c>
      <c r="E283" s="3"/>
      <c r="F283" s="3"/>
      <c r="G283" s="3"/>
    </row>
    <row r="284" spans="1:7" ht="14.25" customHeight="1" x14ac:dyDescent="0.45">
      <c r="A284" s="8">
        <v>43964</v>
      </c>
      <c r="B284" s="2" t="s">
        <v>20</v>
      </c>
      <c r="C284" s="2">
        <v>25539</v>
      </c>
      <c r="D284" s="2">
        <v>2263651.5</v>
      </c>
      <c r="E284" s="3"/>
      <c r="F284" s="3"/>
      <c r="G284" s="3"/>
    </row>
    <row r="285" spans="1:7" ht="14.25" customHeight="1" x14ac:dyDescent="0.45">
      <c r="A285" s="9">
        <v>43982</v>
      </c>
      <c r="B285" s="4" t="s">
        <v>19</v>
      </c>
      <c r="C285" s="4">
        <v>14808</v>
      </c>
      <c r="D285" s="4">
        <v>1336789.5</v>
      </c>
      <c r="E285" s="3"/>
      <c r="F285" s="3"/>
      <c r="G285" s="3"/>
    </row>
    <row r="286" spans="1:7" ht="14.25" customHeight="1" x14ac:dyDescent="0.45">
      <c r="A286" s="8">
        <v>43954</v>
      </c>
      <c r="B286" s="2" t="s">
        <v>20</v>
      </c>
      <c r="C286" s="2">
        <v>21343.5</v>
      </c>
      <c r="D286" s="2">
        <v>1906557</v>
      </c>
      <c r="E286" s="3"/>
      <c r="F286" s="3"/>
      <c r="G286" s="3"/>
    </row>
    <row r="287" spans="1:7" ht="14.25" customHeight="1" x14ac:dyDescent="0.45">
      <c r="A287" s="9">
        <v>43981</v>
      </c>
      <c r="B287" s="4" t="s">
        <v>19</v>
      </c>
      <c r="C287" s="4">
        <v>17946</v>
      </c>
      <c r="D287" s="4">
        <v>1609090.5</v>
      </c>
      <c r="E287" s="3"/>
      <c r="F287" s="3"/>
      <c r="G287" s="3"/>
    </row>
    <row r="288" spans="1:7" ht="14.25" customHeight="1" x14ac:dyDescent="0.45">
      <c r="A288" s="8">
        <v>43957</v>
      </c>
      <c r="B288" s="2" t="s">
        <v>20</v>
      </c>
      <c r="C288" s="2">
        <v>24337.5</v>
      </c>
      <c r="D288" s="2">
        <v>2159350.5</v>
      </c>
      <c r="E288" s="3"/>
      <c r="F288" s="3"/>
      <c r="G288" s="3"/>
    </row>
    <row r="289" spans="1:7" ht="14.25" customHeight="1" x14ac:dyDescent="0.45">
      <c r="A289" s="9">
        <v>43974</v>
      </c>
      <c r="B289" s="4" t="s">
        <v>20</v>
      </c>
      <c r="C289" s="4">
        <v>36997.5</v>
      </c>
      <c r="D289" s="4">
        <v>3089140.5</v>
      </c>
      <c r="E289" s="3"/>
      <c r="F289" s="3"/>
      <c r="G289" s="3"/>
    </row>
    <row r="290" spans="1:7" ht="14.25" customHeight="1" x14ac:dyDescent="0.45">
      <c r="A290" s="8">
        <v>43979</v>
      </c>
      <c r="B290" s="2" t="s">
        <v>19</v>
      </c>
      <c r="C290" s="2">
        <v>13864.5</v>
      </c>
      <c r="D290" s="2">
        <v>1239747</v>
      </c>
      <c r="E290" s="3"/>
      <c r="F290" s="3"/>
      <c r="G290" s="3"/>
    </row>
    <row r="291" spans="1:7" ht="14.25" customHeight="1" x14ac:dyDescent="0.45">
      <c r="A291" s="9">
        <v>43976</v>
      </c>
      <c r="B291" s="4" t="s">
        <v>20</v>
      </c>
      <c r="C291" s="4">
        <v>28494</v>
      </c>
      <c r="D291" s="4">
        <v>2512803</v>
      </c>
      <c r="E291" s="3"/>
      <c r="F291" s="3"/>
      <c r="G291" s="3"/>
    </row>
    <row r="292" spans="1:7" ht="14.25" customHeight="1" x14ac:dyDescent="0.45">
      <c r="A292" s="8">
        <v>43951</v>
      </c>
      <c r="B292" s="2" t="s">
        <v>20</v>
      </c>
      <c r="C292" s="2">
        <v>27883.5</v>
      </c>
      <c r="D292" s="2">
        <v>2560080</v>
      </c>
      <c r="E292" s="3"/>
      <c r="F292" s="3"/>
      <c r="G292" s="3"/>
    </row>
    <row r="293" spans="1:7" ht="14.25" customHeight="1" x14ac:dyDescent="0.45">
      <c r="A293" s="9">
        <v>43961</v>
      </c>
      <c r="B293" s="4" t="s">
        <v>20</v>
      </c>
      <c r="C293" s="4">
        <v>31224</v>
      </c>
      <c r="D293" s="4">
        <v>2767270.5</v>
      </c>
      <c r="E293" s="3"/>
      <c r="F293" s="3"/>
      <c r="G293" s="3"/>
    </row>
    <row r="294" spans="1:7" ht="14.25" customHeight="1" x14ac:dyDescent="0.45">
      <c r="A294" s="8">
        <v>43959</v>
      </c>
      <c r="B294" s="2" t="s">
        <v>20</v>
      </c>
      <c r="C294" s="2">
        <v>25020</v>
      </c>
      <c r="D294" s="2">
        <v>2235960</v>
      </c>
      <c r="E294" s="3"/>
      <c r="F294" s="3"/>
      <c r="G294" s="3"/>
    </row>
    <row r="295" spans="1:7" ht="14.25" customHeight="1" x14ac:dyDescent="0.45">
      <c r="A295" s="9">
        <v>43958</v>
      </c>
      <c r="B295" s="4" t="s">
        <v>20</v>
      </c>
      <c r="C295" s="4">
        <v>26184</v>
      </c>
      <c r="D295" s="4">
        <v>2308336.5</v>
      </c>
      <c r="E295" s="3"/>
      <c r="F295" s="3"/>
      <c r="G295" s="3"/>
    </row>
    <row r="296" spans="1:7" ht="14.25" customHeight="1" x14ac:dyDescent="0.45">
      <c r="A296" s="8">
        <v>43975</v>
      </c>
      <c r="B296" s="2" t="s">
        <v>20</v>
      </c>
      <c r="C296" s="2">
        <v>29824.5</v>
      </c>
      <c r="D296" s="2">
        <v>2526909</v>
      </c>
      <c r="E296" s="3"/>
      <c r="F296" s="3"/>
      <c r="G296" s="3"/>
    </row>
    <row r="297" spans="1:7" ht="14.25" customHeight="1" x14ac:dyDescent="0.45">
      <c r="A297" s="9">
        <v>43950</v>
      </c>
      <c r="B297" s="4" t="s">
        <v>21</v>
      </c>
      <c r="C297" s="4">
        <v>208351.5</v>
      </c>
      <c r="D297" s="4">
        <v>21615333</v>
      </c>
      <c r="E297" s="3"/>
      <c r="F297" s="3"/>
      <c r="G297" s="3"/>
    </row>
    <row r="298" spans="1:7" ht="14.25" customHeight="1" x14ac:dyDescent="0.45">
      <c r="A298" s="8">
        <v>43949</v>
      </c>
      <c r="B298" s="2" t="s">
        <v>21</v>
      </c>
      <c r="C298" s="2">
        <v>204637.5</v>
      </c>
      <c r="D298" s="2">
        <v>21114898.5</v>
      </c>
      <c r="E298" s="3"/>
      <c r="F298" s="3"/>
      <c r="G298" s="3"/>
    </row>
    <row r="299" spans="1:7" ht="14.25" customHeight="1" x14ac:dyDescent="0.45">
      <c r="A299" s="9">
        <v>43982</v>
      </c>
      <c r="B299" s="4" t="s">
        <v>20</v>
      </c>
      <c r="C299" s="4">
        <v>31372.5</v>
      </c>
      <c r="D299" s="4">
        <v>2794324.5</v>
      </c>
      <c r="E299" s="3"/>
      <c r="F299" s="3"/>
      <c r="G299" s="3"/>
    </row>
    <row r="300" spans="1:7" ht="14.25" customHeight="1" x14ac:dyDescent="0.45">
      <c r="A300" s="8">
        <v>43981</v>
      </c>
      <c r="B300" s="2" t="s">
        <v>20</v>
      </c>
      <c r="C300" s="2">
        <v>34681.5</v>
      </c>
      <c r="D300" s="2">
        <v>3005334</v>
      </c>
      <c r="E300" s="3"/>
      <c r="F300" s="3"/>
      <c r="G300" s="3"/>
    </row>
    <row r="301" spans="1:7" ht="14.25" customHeight="1" x14ac:dyDescent="0.45">
      <c r="A301" s="9">
        <v>43979</v>
      </c>
      <c r="B301" s="4" t="s">
        <v>20</v>
      </c>
      <c r="C301" s="4">
        <v>28197</v>
      </c>
      <c r="D301" s="4">
        <v>2559211.5</v>
      </c>
      <c r="E301" s="3"/>
      <c r="F301" s="3"/>
      <c r="G301" s="3"/>
    </row>
    <row r="302" spans="1:7" ht="14.25" customHeight="1" x14ac:dyDescent="0.45">
      <c r="A302" s="8">
        <v>43967</v>
      </c>
      <c r="B302" s="2" t="s">
        <v>21</v>
      </c>
      <c r="C302" s="2">
        <v>236551.5</v>
      </c>
      <c r="D302" s="2">
        <v>23689383</v>
      </c>
      <c r="E302" s="3"/>
      <c r="F302" s="3"/>
      <c r="G302" s="3"/>
    </row>
    <row r="303" spans="1:7" ht="14.25" customHeight="1" x14ac:dyDescent="0.45">
      <c r="A303" s="9">
        <v>43970</v>
      </c>
      <c r="B303" s="4" t="s">
        <v>21</v>
      </c>
      <c r="C303" s="4">
        <v>223597.5</v>
      </c>
      <c r="D303" s="4">
        <v>21945858</v>
      </c>
      <c r="E303" s="3"/>
      <c r="F303" s="3"/>
      <c r="G303" s="3"/>
    </row>
    <row r="304" spans="1:7" ht="14.25" customHeight="1" x14ac:dyDescent="0.45">
      <c r="A304" s="8">
        <v>43968</v>
      </c>
      <c r="B304" s="2" t="s">
        <v>21</v>
      </c>
      <c r="C304" s="2">
        <v>193363.5</v>
      </c>
      <c r="D304" s="2">
        <v>19546386</v>
      </c>
      <c r="E304" s="3"/>
      <c r="F304" s="3"/>
      <c r="G304" s="3"/>
    </row>
    <row r="305" spans="1:7" ht="14.25" customHeight="1" x14ac:dyDescent="0.45">
      <c r="A305" s="9">
        <v>43960</v>
      </c>
      <c r="B305" s="4" t="s">
        <v>21</v>
      </c>
      <c r="C305" s="4">
        <v>188319</v>
      </c>
      <c r="D305" s="4">
        <v>19218631.5</v>
      </c>
      <c r="E305" s="3"/>
      <c r="F305" s="3"/>
      <c r="G305" s="3"/>
    </row>
    <row r="306" spans="1:7" ht="14.25" customHeight="1" x14ac:dyDescent="0.45">
      <c r="A306" s="8">
        <v>43955</v>
      </c>
      <c r="B306" s="2" t="s">
        <v>21</v>
      </c>
      <c r="C306" s="2">
        <v>237544.5</v>
      </c>
      <c r="D306" s="2">
        <v>24292218</v>
      </c>
      <c r="E306" s="3"/>
      <c r="F306" s="3"/>
      <c r="G306" s="3"/>
    </row>
    <row r="307" spans="1:7" ht="14.25" customHeight="1" x14ac:dyDescent="0.45">
      <c r="A307" s="9">
        <v>43950</v>
      </c>
      <c r="B307" s="4" t="s">
        <v>22</v>
      </c>
      <c r="C307" s="4">
        <v>203209.5</v>
      </c>
      <c r="D307" s="4">
        <v>20871391.5</v>
      </c>
      <c r="E307" s="3"/>
      <c r="F307" s="3"/>
      <c r="G307" s="3"/>
    </row>
    <row r="308" spans="1:7" ht="14.25" customHeight="1" x14ac:dyDescent="0.45">
      <c r="A308" s="8">
        <v>43953</v>
      </c>
      <c r="B308" s="2" t="s">
        <v>21</v>
      </c>
      <c r="C308" s="2">
        <v>185979</v>
      </c>
      <c r="D308" s="2">
        <v>19625364</v>
      </c>
      <c r="E308" s="3"/>
      <c r="F308" s="3"/>
      <c r="G308" s="3"/>
    </row>
    <row r="309" spans="1:7" ht="14.25" customHeight="1" x14ac:dyDescent="0.45">
      <c r="A309" s="9">
        <v>43977</v>
      </c>
      <c r="B309" s="4" t="s">
        <v>21</v>
      </c>
      <c r="C309" s="4">
        <v>244905</v>
      </c>
      <c r="D309" s="4">
        <v>25163431.5</v>
      </c>
      <c r="E309" s="3"/>
      <c r="F309" s="3"/>
      <c r="G309" s="3"/>
    </row>
    <row r="310" spans="1:7" ht="14.25" customHeight="1" x14ac:dyDescent="0.45">
      <c r="A310" s="8">
        <v>43952</v>
      </c>
      <c r="B310" s="2" t="s">
        <v>21</v>
      </c>
      <c r="C310" s="2">
        <v>239409</v>
      </c>
      <c r="D310" s="2">
        <v>25413351</v>
      </c>
      <c r="E310" s="3"/>
      <c r="F310" s="3"/>
      <c r="G310" s="3"/>
    </row>
    <row r="311" spans="1:7" ht="14.25" customHeight="1" x14ac:dyDescent="0.45">
      <c r="A311" s="9">
        <v>43963</v>
      </c>
      <c r="B311" s="4" t="s">
        <v>21</v>
      </c>
      <c r="C311" s="4">
        <v>192886.5</v>
      </c>
      <c r="D311" s="4">
        <v>19205179.5</v>
      </c>
      <c r="E311" s="3"/>
      <c r="F311" s="3"/>
      <c r="G311" s="3"/>
    </row>
    <row r="312" spans="1:7" ht="14.25" customHeight="1" x14ac:dyDescent="0.45">
      <c r="A312" s="8">
        <v>43972</v>
      </c>
      <c r="B312" s="2" t="s">
        <v>21</v>
      </c>
      <c r="C312" s="2">
        <v>224233.5</v>
      </c>
      <c r="D312" s="2">
        <v>22253295</v>
      </c>
      <c r="E312" s="3"/>
      <c r="F312" s="3"/>
      <c r="G312" s="3"/>
    </row>
    <row r="313" spans="1:7" ht="14.25" customHeight="1" x14ac:dyDescent="0.45">
      <c r="A313" s="9">
        <v>43971</v>
      </c>
      <c r="B313" s="4" t="s">
        <v>21</v>
      </c>
      <c r="C313" s="4">
        <v>219622.5</v>
      </c>
      <c r="D313" s="4">
        <v>21959286</v>
      </c>
      <c r="E313" s="3"/>
      <c r="F313" s="3"/>
      <c r="G313" s="3"/>
    </row>
    <row r="314" spans="1:7" ht="14.25" customHeight="1" x14ac:dyDescent="0.45">
      <c r="A314" s="8">
        <v>43956</v>
      </c>
      <c r="B314" s="2" t="s">
        <v>21</v>
      </c>
      <c r="C314" s="2">
        <v>213582</v>
      </c>
      <c r="D314" s="2">
        <v>21919435.5</v>
      </c>
      <c r="E314" s="3"/>
      <c r="F314" s="3"/>
      <c r="G314" s="3"/>
    </row>
    <row r="315" spans="1:7" ht="14.25" customHeight="1" x14ac:dyDescent="0.45">
      <c r="A315" s="9">
        <v>43949</v>
      </c>
      <c r="B315" s="4" t="s">
        <v>22</v>
      </c>
      <c r="C315" s="4">
        <v>195705</v>
      </c>
      <c r="D315" s="4">
        <v>20003263.5</v>
      </c>
      <c r="E315" s="3"/>
      <c r="F315" s="3"/>
      <c r="G315" s="3"/>
    </row>
    <row r="316" spans="1:7" ht="14.25" customHeight="1" x14ac:dyDescent="0.45">
      <c r="A316" s="8">
        <v>43964</v>
      </c>
      <c r="B316" s="2" t="s">
        <v>21</v>
      </c>
      <c r="C316" s="2">
        <v>193722</v>
      </c>
      <c r="D316" s="2">
        <v>19437273</v>
      </c>
      <c r="E316" s="3"/>
      <c r="F316" s="3"/>
      <c r="G316" s="3"/>
    </row>
    <row r="317" spans="1:7" ht="14.25" customHeight="1" x14ac:dyDescent="0.45">
      <c r="A317" s="9">
        <v>43954</v>
      </c>
      <c r="B317" s="4" t="s">
        <v>21</v>
      </c>
      <c r="C317" s="4">
        <v>257215.5</v>
      </c>
      <c r="D317" s="4">
        <v>26492278.5</v>
      </c>
      <c r="E317" s="3"/>
      <c r="F317" s="3"/>
      <c r="G317" s="3"/>
    </row>
    <row r="318" spans="1:7" ht="14.25" customHeight="1" x14ac:dyDescent="0.45">
      <c r="A318" s="8">
        <v>43957</v>
      </c>
      <c r="B318" s="2" t="s">
        <v>21</v>
      </c>
      <c r="C318" s="2">
        <v>224779.5</v>
      </c>
      <c r="D318" s="2">
        <v>23032992</v>
      </c>
      <c r="E318" s="3"/>
      <c r="F318" s="3"/>
      <c r="G318" s="3"/>
    </row>
    <row r="319" spans="1:7" ht="14.25" customHeight="1" x14ac:dyDescent="0.45">
      <c r="A319" s="9">
        <v>43974</v>
      </c>
      <c r="B319" s="4" t="s">
        <v>21</v>
      </c>
      <c r="C319" s="4">
        <v>292018.5</v>
      </c>
      <c r="D319" s="4">
        <v>28590910.5</v>
      </c>
      <c r="E319" s="3"/>
      <c r="F319" s="3"/>
      <c r="G319" s="3"/>
    </row>
    <row r="320" spans="1:7" ht="14.25" customHeight="1" x14ac:dyDescent="0.45">
      <c r="A320" s="8">
        <v>43976</v>
      </c>
      <c r="B320" s="2" t="s">
        <v>21</v>
      </c>
      <c r="C320" s="2">
        <v>198751.5</v>
      </c>
      <c r="D320" s="2">
        <v>20582743.5</v>
      </c>
      <c r="E320" s="3"/>
      <c r="F320" s="3"/>
      <c r="G320" s="3"/>
    </row>
    <row r="321" spans="1:7" ht="14.25" customHeight="1" x14ac:dyDescent="0.45">
      <c r="A321" s="9">
        <v>43951</v>
      </c>
      <c r="B321" s="4" t="s">
        <v>21</v>
      </c>
      <c r="C321" s="4">
        <v>214386</v>
      </c>
      <c r="D321" s="4">
        <v>22530000</v>
      </c>
      <c r="E321" s="3"/>
      <c r="F321" s="3"/>
      <c r="G321" s="3"/>
    </row>
    <row r="322" spans="1:7" ht="14.25" customHeight="1" x14ac:dyDescent="0.45">
      <c r="A322" s="8">
        <v>43961</v>
      </c>
      <c r="B322" s="2" t="s">
        <v>21</v>
      </c>
      <c r="C322" s="2">
        <v>243825</v>
      </c>
      <c r="D322" s="2">
        <v>24890404.5</v>
      </c>
      <c r="E322" s="3"/>
      <c r="F322" s="3"/>
      <c r="G322" s="3"/>
    </row>
    <row r="323" spans="1:7" ht="14.25" customHeight="1" x14ac:dyDescent="0.45">
      <c r="A323" s="9">
        <v>43959</v>
      </c>
      <c r="B323" s="4" t="s">
        <v>21</v>
      </c>
      <c r="C323" s="4">
        <v>232701</v>
      </c>
      <c r="D323" s="4">
        <v>23881948.5</v>
      </c>
      <c r="E323" s="3"/>
      <c r="F323" s="3"/>
      <c r="G323" s="3"/>
    </row>
    <row r="324" spans="1:7" ht="14.25" customHeight="1" x14ac:dyDescent="0.45">
      <c r="A324" s="8">
        <v>43958</v>
      </c>
      <c r="B324" s="2" t="s">
        <v>21</v>
      </c>
      <c r="C324" s="2">
        <v>219411</v>
      </c>
      <c r="D324" s="2">
        <v>22460130</v>
      </c>
      <c r="E324" s="3"/>
      <c r="F324" s="3"/>
      <c r="G324" s="3"/>
    </row>
    <row r="325" spans="1:7" ht="14.25" customHeight="1" x14ac:dyDescent="0.45">
      <c r="A325" s="9">
        <v>43975</v>
      </c>
      <c r="B325" s="4" t="s">
        <v>21</v>
      </c>
      <c r="C325" s="4">
        <v>200029.5</v>
      </c>
      <c r="D325" s="4">
        <v>19959801</v>
      </c>
      <c r="E325" s="3"/>
      <c r="F325" s="3"/>
      <c r="G325" s="3"/>
    </row>
    <row r="326" spans="1:7" ht="14.25" customHeight="1" x14ac:dyDescent="0.45">
      <c r="A326" s="8">
        <v>43967</v>
      </c>
      <c r="B326" s="2" t="s">
        <v>22</v>
      </c>
      <c r="C326" s="2">
        <v>225480</v>
      </c>
      <c r="D326" s="2">
        <v>22355338.5</v>
      </c>
      <c r="E326" s="3"/>
      <c r="F326" s="3"/>
      <c r="G326" s="3"/>
    </row>
    <row r="327" spans="1:7" ht="14.25" customHeight="1" x14ac:dyDescent="0.45">
      <c r="A327" s="9">
        <v>43970</v>
      </c>
      <c r="B327" s="4" t="s">
        <v>22</v>
      </c>
      <c r="C327" s="4">
        <v>211453.5</v>
      </c>
      <c r="D327" s="4">
        <v>20590072.5</v>
      </c>
      <c r="E327" s="3"/>
      <c r="F327" s="3"/>
      <c r="G327" s="3"/>
    </row>
    <row r="328" spans="1:7" ht="14.25" customHeight="1" x14ac:dyDescent="0.45">
      <c r="A328" s="8">
        <v>43968</v>
      </c>
      <c r="B328" s="2" t="s">
        <v>22</v>
      </c>
      <c r="C328" s="2">
        <v>184801.5</v>
      </c>
      <c r="D328" s="2">
        <v>18449091</v>
      </c>
      <c r="E328" s="3"/>
      <c r="F328" s="3"/>
      <c r="G328" s="3"/>
    </row>
    <row r="329" spans="1:7" ht="14.25" customHeight="1" x14ac:dyDescent="0.45">
      <c r="A329" s="9">
        <v>43960</v>
      </c>
      <c r="B329" s="4" t="s">
        <v>22</v>
      </c>
      <c r="C329" s="4">
        <v>177976.5</v>
      </c>
      <c r="D329" s="4">
        <v>18085798.5</v>
      </c>
      <c r="E329" s="3"/>
      <c r="F329" s="3"/>
      <c r="G329" s="3"/>
    </row>
    <row r="330" spans="1:7" ht="14.25" customHeight="1" x14ac:dyDescent="0.45">
      <c r="A330" s="8">
        <v>43955</v>
      </c>
      <c r="B330" s="2" t="s">
        <v>22</v>
      </c>
      <c r="C330" s="2">
        <v>223617</v>
      </c>
      <c r="D330" s="2">
        <v>22796827.5</v>
      </c>
      <c r="E330" s="3"/>
      <c r="F330" s="3"/>
      <c r="G330" s="3"/>
    </row>
    <row r="331" spans="1:7" ht="14.25" customHeight="1" x14ac:dyDescent="0.45">
      <c r="A331" s="9">
        <v>43953</v>
      </c>
      <c r="B331" s="4" t="s">
        <v>22</v>
      </c>
      <c r="C331" s="4">
        <v>176397</v>
      </c>
      <c r="D331" s="4">
        <v>18625921.5</v>
      </c>
      <c r="E331" s="3"/>
      <c r="F331" s="3"/>
      <c r="G331" s="3"/>
    </row>
    <row r="332" spans="1:7" ht="14.25" customHeight="1" x14ac:dyDescent="0.45">
      <c r="A332" s="8">
        <v>43977</v>
      </c>
      <c r="B332" s="2" t="s">
        <v>22</v>
      </c>
      <c r="C332" s="2">
        <v>232369.5</v>
      </c>
      <c r="D332" s="2">
        <v>23856345</v>
      </c>
      <c r="E332" s="3"/>
      <c r="F332" s="3"/>
      <c r="G332" s="3"/>
    </row>
    <row r="333" spans="1:7" ht="14.25" customHeight="1" x14ac:dyDescent="0.45">
      <c r="A333" s="9">
        <v>43952</v>
      </c>
      <c r="B333" s="4" t="s">
        <v>22</v>
      </c>
      <c r="C333" s="4">
        <v>226540.5</v>
      </c>
      <c r="D333" s="4">
        <v>23953536</v>
      </c>
      <c r="E333" s="3"/>
      <c r="F333" s="3"/>
      <c r="G333" s="3"/>
    </row>
    <row r="334" spans="1:7" ht="14.25" customHeight="1" x14ac:dyDescent="0.45">
      <c r="A334" s="8">
        <v>43963</v>
      </c>
      <c r="B334" s="2" t="s">
        <v>22</v>
      </c>
      <c r="C334" s="2">
        <v>189679.5</v>
      </c>
      <c r="D334" s="2">
        <v>18718036.5</v>
      </c>
      <c r="E334" s="3"/>
      <c r="F334" s="3"/>
      <c r="G334" s="3"/>
    </row>
    <row r="335" spans="1:7" ht="14.25" customHeight="1" x14ac:dyDescent="0.45">
      <c r="A335" s="9">
        <v>43972</v>
      </c>
      <c r="B335" s="4" t="s">
        <v>22</v>
      </c>
      <c r="C335" s="4">
        <v>213640.5</v>
      </c>
      <c r="D335" s="4">
        <v>21042673.5</v>
      </c>
      <c r="E335" s="3"/>
      <c r="F335" s="3"/>
      <c r="G335" s="3"/>
    </row>
    <row r="336" spans="1:7" ht="14.25" customHeight="1" x14ac:dyDescent="0.45">
      <c r="A336" s="8">
        <v>43971</v>
      </c>
      <c r="B336" s="2" t="s">
        <v>22</v>
      </c>
      <c r="C336" s="2">
        <v>214885.5</v>
      </c>
      <c r="D336" s="2">
        <v>21411349.5</v>
      </c>
      <c r="E336" s="3"/>
      <c r="F336" s="3"/>
      <c r="G336" s="3"/>
    </row>
    <row r="337" spans="1:7" ht="14.25" customHeight="1" x14ac:dyDescent="0.45">
      <c r="A337" s="9">
        <v>43956</v>
      </c>
      <c r="B337" s="4" t="s">
        <v>22</v>
      </c>
      <c r="C337" s="4">
        <v>203832</v>
      </c>
      <c r="D337" s="4">
        <v>20880142.5</v>
      </c>
      <c r="E337" s="3"/>
      <c r="F337" s="3"/>
      <c r="G337" s="3"/>
    </row>
    <row r="338" spans="1:7" ht="14.25" customHeight="1" x14ac:dyDescent="0.45">
      <c r="A338" s="8">
        <v>43964</v>
      </c>
      <c r="B338" s="2" t="s">
        <v>22</v>
      </c>
      <c r="C338" s="2">
        <v>188662.5</v>
      </c>
      <c r="D338" s="2">
        <v>18784000.5</v>
      </c>
      <c r="E338" s="3"/>
      <c r="F338" s="3"/>
      <c r="G338" s="3"/>
    </row>
    <row r="339" spans="1:7" ht="14.25" customHeight="1" x14ac:dyDescent="0.45">
      <c r="A339" s="9">
        <v>43982</v>
      </c>
      <c r="B339" s="4" t="s">
        <v>21</v>
      </c>
      <c r="C339" s="4">
        <v>215277</v>
      </c>
      <c r="D339" s="4">
        <v>21585316.5</v>
      </c>
      <c r="E339" s="3"/>
      <c r="F339" s="3"/>
      <c r="G339" s="3"/>
    </row>
    <row r="340" spans="1:7" ht="14.25" customHeight="1" x14ac:dyDescent="0.45">
      <c r="A340" s="8">
        <v>43954</v>
      </c>
      <c r="B340" s="2" t="s">
        <v>22</v>
      </c>
      <c r="C340" s="2">
        <v>248148</v>
      </c>
      <c r="D340" s="2">
        <v>25519072.5</v>
      </c>
      <c r="E340" s="3"/>
      <c r="F340" s="3"/>
      <c r="G340" s="3"/>
    </row>
    <row r="341" spans="1:7" ht="14.25" customHeight="1" x14ac:dyDescent="0.45">
      <c r="A341" s="9">
        <v>43981</v>
      </c>
      <c r="B341" s="4" t="s">
        <v>21</v>
      </c>
      <c r="C341" s="4">
        <v>246414</v>
      </c>
      <c r="D341" s="4">
        <v>24527245.5</v>
      </c>
      <c r="E341" s="3"/>
      <c r="F341" s="3"/>
      <c r="G341" s="3"/>
    </row>
    <row r="342" spans="1:7" ht="14.25" customHeight="1" x14ac:dyDescent="0.45">
      <c r="A342" s="8">
        <v>43957</v>
      </c>
      <c r="B342" s="2" t="s">
        <v>22</v>
      </c>
      <c r="C342" s="2">
        <v>216498</v>
      </c>
      <c r="D342" s="2">
        <v>22126444.5</v>
      </c>
      <c r="E342" s="3"/>
      <c r="F342" s="3"/>
      <c r="G342" s="3"/>
    </row>
    <row r="343" spans="1:7" ht="14.25" customHeight="1" x14ac:dyDescent="0.45">
      <c r="A343" s="9">
        <v>43974</v>
      </c>
      <c r="B343" s="4" t="s">
        <v>22</v>
      </c>
      <c r="C343" s="4">
        <v>275793</v>
      </c>
      <c r="D343" s="4">
        <v>26806626</v>
      </c>
      <c r="E343" s="3"/>
      <c r="F343" s="3"/>
      <c r="G343" s="3"/>
    </row>
    <row r="344" spans="1:7" ht="14.25" customHeight="1" x14ac:dyDescent="0.45">
      <c r="A344" s="8">
        <v>43979</v>
      </c>
      <c r="B344" s="2" t="s">
        <v>21</v>
      </c>
      <c r="C344" s="2">
        <v>199753.5</v>
      </c>
      <c r="D344" s="2">
        <v>20535733.5</v>
      </c>
      <c r="E344" s="3"/>
      <c r="F344" s="3"/>
      <c r="G344" s="3"/>
    </row>
    <row r="345" spans="1:7" ht="14.25" customHeight="1" x14ac:dyDescent="0.45">
      <c r="A345" s="9">
        <v>43976</v>
      </c>
      <c r="B345" s="4" t="s">
        <v>22</v>
      </c>
      <c r="C345" s="4">
        <v>192948</v>
      </c>
      <c r="D345" s="4">
        <v>19806927</v>
      </c>
      <c r="E345" s="3"/>
      <c r="F345" s="3"/>
      <c r="G345" s="3"/>
    </row>
    <row r="346" spans="1:7" ht="14.25" customHeight="1" x14ac:dyDescent="0.45">
      <c r="A346" s="8">
        <v>43951</v>
      </c>
      <c r="B346" s="2" t="s">
        <v>22</v>
      </c>
      <c r="C346" s="2">
        <v>206038.5</v>
      </c>
      <c r="D346" s="2">
        <v>21740460</v>
      </c>
      <c r="E346" s="3"/>
      <c r="F346" s="3"/>
      <c r="G346" s="3"/>
    </row>
    <row r="347" spans="1:7" ht="14.25" customHeight="1" x14ac:dyDescent="0.45">
      <c r="A347" s="9">
        <v>43961</v>
      </c>
      <c r="B347" s="4" t="s">
        <v>22</v>
      </c>
      <c r="C347" s="4">
        <v>231559.5</v>
      </c>
      <c r="D347" s="4">
        <v>23443725</v>
      </c>
      <c r="E347" s="3"/>
      <c r="F347" s="3"/>
      <c r="G347" s="3"/>
    </row>
    <row r="348" spans="1:7" ht="14.25" customHeight="1" x14ac:dyDescent="0.45">
      <c r="A348" s="8">
        <v>43959</v>
      </c>
      <c r="B348" s="2" t="s">
        <v>22</v>
      </c>
      <c r="C348" s="2">
        <v>225076.5</v>
      </c>
      <c r="D348" s="2">
        <v>22846078.5</v>
      </c>
      <c r="E348" s="3"/>
      <c r="F348" s="3"/>
      <c r="G348" s="3"/>
    </row>
    <row r="349" spans="1:7" ht="14.25" customHeight="1" x14ac:dyDescent="0.45">
      <c r="A349" s="9">
        <v>43958</v>
      </c>
      <c r="B349" s="4" t="s">
        <v>22</v>
      </c>
      <c r="C349" s="4">
        <v>209415</v>
      </c>
      <c r="D349" s="4">
        <v>21463023</v>
      </c>
      <c r="E349" s="3"/>
      <c r="F349" s="3"/>
      <c r="G349" s="3"/>
    </row>
    <row r="350" spans="1:7" ht="14.25" customHeight="1" x14ac:dyDescent="0.45">
      <c r="A350" s="8">
        <v>43975</v>
      </c>
      <c r="B350" s="2" t="s">
        <v>22</v>
      </c>
      <c r="C350" s="2">
        <v>193719</v>
      </c>
      <c r="D350" s="2">
        <v>19071117</v>
      </c>
      <c r="E350" s="3"/>
      <c r="F350" s="3"/>
      <c r="G350" s="3"/>
    </row>
    <row r="351" spans="1:7" ht="14.25" customHeight="1" x14ac:dyDescent="0.45">
      <c r="A351" s="9">
        <v>43950</v>
      </c>
      <c r="B351" s="4" t="s">
        <v>23</v>
      </c>
      <c r="C351" s="4">
        <v>12250.5</v>
      </c>
      <c r="D351" s="4">
        <v>981519</v>
      </c>
      <c r="E351" s="3"/>
      <c r="F351" s="3"/>
      <c r="G351" s="3"/>
    </row>
    <row r="352" spans="1:7" ht="14.25" customHeight="1" x14ac:dyDescent="0.45">
      <c r="A352" s="8">
        <v>43949</v>
      </c>
      <c r="B352" s="2" t="s">
        <v>23</v>
      </c>
      <c r="C352" s="2">
        <v>12541.5</v>
      </c>
      <c r="D352" s="2">
        <v>992541</v>
      </c>
      <c r="E352" s="3"/>
      <c r="F352" s="3"/>
      <c r="G352" s="3"/>
    </row>
    <row r="353" spans="1:7" ht="14.25" customHeight="1" x14ac:dyDescent="0.45">
      <c r="A353" s="9">
        <v>43982</v>
      </c>
      <c r="B353" s="4" t="s">
        <v>22</v>
      </c>
      <c r="C353" s="4">
        <v>206758.5</v>
      </c>
      <c r="D353" s="4">
        <v>20717248.5</v>
      </c>
      <c r="E353" s="3"/>
      <c r="F353" s="3"/>
      <c r="G353" s="3"/>
    </row>
    <row r="354" spans="1:7" ht="14.25" customHeight="1" x14ac:dyDescent="0.45">
      <c r="A354" s="8">
        <v>43981</v>
      </c>
      <c r="B354" s="2" t="s">
        <v>22</v>
      </c>
      <c r="C354" s="2">
        <v>244734</v>
      </c>
      <c r="D354" s="2">
        <v>24151980</v>
      </c>
      <c r="E354" s="3"/>
      <c r="F354" s="3"/>
      <c r="G354" s="3"/>
    </row>
    <row r="355" spans="1:7" ht="14.25" customHeight="1" x14ac:dyDescent="0.45">
      <c r="A355" s="9">
        <v>43979</v>
      </c>
      <c r="B355" s="4" t="s">
        <v>22</v>
      </c>
      <c r="C355" s="4">
        <v>191641.5</v>
      </c>
      <c r="D355" s="4">
        <v>19549036.5</v>
      </c>
      <c r="E355" s="3"/>
      <c r="F355" s="3"/>
      <c r="G355" s="3"/>
    </row>
    <row r="356" spans="1:7" ht="14.25" customHeight="1" x14ac:dyDescent="0.45">
      <c r="A356" s="8">
        <v>43967</v>
      </c>
      <c r="B356" s="2" t="s">
        <v>23</v>
      </c>
      <c r="C356" s="2">
        <v>16368</v>
      </c>
      <c r="D356" s="2">
        <v>1316350.5</v>
      </c>
      <c r="E356" s="3"/>
      <c r="F356" s="3"/>
      <c r="G356" s="3"/>
    </row>
    <row r="357" spans="1:7" ht="14.25" customHeight="1" x14ac:dyDescent="0.45">
      <c r="A357" s="9">
        <v>43970</v>
      </c>
      <c r="B357" s="4" t="s">
        <v>23</v>
      </c>
      <c r="C357" s="4">
        <v>14427</v>
      </c>
      <c r="D357" s="4">
        <v>1126810.5</v>
      </c>
      <c r="E357" s="3"/>
      <c r="F357" s="3"/>
      <c r="G357" s="3"/>
    </row>
    <row r="358" spans="1:7" ht="14.25" customHeight="1" x14ac:dyDescent="0.45">
      <c r="A358" s="8">
        <v>43968</v>
      </c>
      <c r="B358" s="2" t="s">
        <v>23</v>
      </c>
      <c r="C358" s="2">
        <v>13440</v>
      </c>
      <c r="D358" s="2">
        <v>1157529</v>
      </c>
      <c r="E358" s="3"/>
      <c r="F358" s="3"/>
      <c r="G358" s="3"/>
    </row>
    <row r="359" spans="1:7" ht="14.25" customHeight="1" x14ac:dyDescent="0.45">
      <c r="A359" s="9">
        <v>43960</v>
      </c>
      <c r="B359" s="4" t="s">
        <v>23</v>
      </c>
      <c r="C359" s="4">
        <v>11745</v>
      </c>
      <c r="D359" s="4">
        <v>955801.5</v>
      </c>
      <c r="E359" s="3"/>
      <c r="F359" s="3"/>
      <c r="G359" s="3"/>
    </row>
    <row r="360" spans="1:7" ht="14.25" customHeight="1" x14ac:dyDescent="0.45">
      <c r="A360" s="8">
        <v>43955</v>
      </c>
      <c r="B360" s="2" t="s">
        <v>23</v>
      </c>
      <c r="C360" s="2">
        <v>11062.5</v>
      </c>
      <c r="D360" s="2">
        <v>906343.5</v>
      </c>
      <c r="E360" s="3"/>
      <c r="F360" s="3"/>
      <c r="G360" s="3"/>
    </row>
    <row r="361" spans="1:7" ht="14.25" customHeight="1" x14ac:dyDescent="0.45">
      <c r="A361" s="9">
        <v>43953</v>
      </c>
      <c r="B361" s="4" t="s">
        <v>23</v>
      </c>
      <c r="C361" s="4">
        <v>10018.5</v>
      </c>
      <c r="D361" s="4">
        <v>816859.5</v>
      </c>
      <c r="E361" s="3"/>
      <c r="F361" s="3"/>
      <c r="G361" s="3"/>
    </row>
    <row r="362" spans="1:7" ht="14.25" customHeight="1" x14ac:dyDescent="0.45">
      <c r="A362" s="8">
        <v>43977</v>
      </c>
      <c r="B362" s="2" t="s">
        <v>24</v>
      </c>
      <c r="C362" s="2">
        <v>10437</v>
      </c>
      <c r="D362" s="2">
        <v>833815.5</v>
      </c>
      <c r="E362" s="3"/>
      <c r="F362" s="3"/>
      <c r="G362" s="3"/>
    </row>
    <row r="363" spans="1:7" ht="14.25" customHeight="1" x14ac:dyDescent="0.45">
      <c r="A363" s="9">
        <v>43952</v>
      </c>
      <c r="B363" s="4" t="s">
        <v>23</v>
      </c>
      <c r="C363" s="4">
        <v>13644</v>
      </c>
      <c r="D363" s="4">
        <v>1134444</v>
      </c>
      <c r="E363" s="3"/>
      <c r="F363" s="3"/>
      <c r="G363" s="3"/>
    </row>
    <row r="364" spans="1:7" ht="14.25" customHeight="1" x14ac:dyDescent="0.45">
      <c r="A364" s="8">
        <v>43963</v>
      </c>
      <c r="B364" s="2" t="s">
        <v>23</v>
      </c>
      <c r="C364" s="2">
        <v>13443</v>
      </c>
      <c r="D364" s="2">
        <v>1092277.5</v>
      </c>
      <c r="E364" s="3"/>
      <c r="F364" s="3"/>
      <c r="G364" s="3"/>
    </row>
    <row r="365" spans="1:7" ht="14.25" customHeight="1" x14ac:dyDescent="0.45">
      <c r="A365" s="9">
        <v>43972</v>
      </c>
      <c r="B365" s="4" t="s">
        <v>23</v>
      </c>
      <c r="C365" s="4">
        <v>14182.5</v>
      </c>
      <c r="D365" s="4">
        <v>1172574</v>
      </c>
      <c r="E365" s="3"/>
      <c r="F365" s="3"/>
      <c r="G365" s="3"/>
    </row>
    <row r="366" spans="1:7" ht="14.25" customHeight="1" x14ac:dyDescent="0.45">
      <c r="A366" s="8">
        <v>43971</v>
      </c>
      <c r="B366" s="2" t="s">
        <v>23</v>
      </c>
      <c r="C366" s="2">
        <v>14928</v>
      </c>
      <c r="D366" s="2">
        <v>1217749.5</v>
      </c>
      <c r="E366" s="3"/>
      <c r="F366" s="3"/>
      <c r="G366" s="3"/>
    </row>
    <row r="367" spans="1:7" ht="14.25" customHeight="1" x14ac:dyDescent="0.45">
      <c r="A367" s="9">
        <v>43956</v>
      </c>
      <c r="B367" s="4" t="s">
        <v>23</v>
      </c>
      <c r="C367" s="4">
        <v>13941</v>
      </c>
      <c r="D367" s="4">
        <v>1145575.5</v>
      </c>
      <c r="E367" s="3"/>
      <c r="F367" s="3"/>
      <c r="G367" s="3"/>
    </row>
    <row r="368" spans="1:7" ht="14.25" customHeight="1" x14ac:dyDescent="0.45">
      <c r="A368" s="8">
        <v>43964</v>
      </c>
      <c r="B368" s="2" t="s">
        <v>23</v>
      </c>
      <c r="C368" s="2">
        <v>14643</v>
      </c>
      <c r="D368" s="2">
        <v>1172691</v>
      </c>
      <c r="E368" s="3"/>
      <c r="F368" s="3"/>
      <c r="G368" s="3"/>
    </row>
    <row r="369" spans="1:7" ht="14.25" customHeight="1" x14ac:dyDescent="0.45">
      <c r="A369" s="9">
        <v>43954</v>
      </c>
      <c r="B369" s="4" t="s">
        <v>23</v>
      </c>
      <c r="C369" s="4">
        <v>10032</v>
      </c>
      <c r="D369" s="4">
        <v>816150</v>
      </c>
      <c r="E369" s="3"/>
      <c r="F369" s="3"/>
      <c r="G369" s="3"/>
    </row>
    <row r="370" spans="1:7" ht="14.25" customHeight="1" x14ac:dyDescent="0.45">
      <c r="A370" s="8">
        <v>43957</v>
      </c>
      <c r="B370" s="2" t="s">
        <v>23</v>
      </c>
      <c r="C370" s="2">
        <v>12468</v>
      </c>
      <c r="D370" s="2">
        <v>1016566.5</v>
      </c>
      <c r="E370" s="3"/>
      <c r="F370" s="3"/>
      <c r="G370" s="3"/>
    </row>
    <row r="371" spans="1:7" ht="14.25" customHeight="1" x14ac:dyDescent="0.45">
      <c r="A371" s="9">
        <v>43974</v>
      </c>
      <c r="B371" s="4" t="s">
        <v>23</v>
      </c>
      <c r="C371" s="4">
        <v>17943</v>
      </c>
      <c r="D371" s="4">
        <v>1457391</v>
      </c>
      <c r="E371" s="3"/>
      <c r="F371" s="3"/>
      <c r="G371" s="3"/>
    </row>
    <row r="372" spans="1:7" ht="14.25" customHeight="1" x14ac:dyDescent="0.45">
      <c r="A372" s="8">
        <v>43976</v>
      </c>
      <c r="B372" s="2" t="s">
        <v>23</v>
      </c>
      <c r="C372" s="2">
        <v>15807</v>
      </c>
      <c r="D372" s="2">
        <v>1326705</v>
      </c>
      <c r="E372" s="3"/>
      <c r="F372" s="3"/>
      <c r="G372" s="3"/>
    </row>
    <row r="373" spans="1:7" ht="14.25" customHeight="1" x14ac:dyDescent="0.45">
      <c r="A373" s="9">
        <v>43951</v>
      </c>
      <c r="B373" s="4" t="s">
        <v>23</v>
      </c>
      <c r="C373" s="4">
        <v>11976</v>
      </c>
      <c r="D373" s="4">
        <v>1004511</v>
      </c>
      <c r="E373" s="3"/>
      <c r="F373" s="3"/>
      <c r="G373" s="3"/>
    </row>
    <row r="374" spans="1:7" ht="14.25" customHeight="1" x14ac:dyDescent="0.45">
      <c r="A374" s="8">
        <v>43961</v>
      </c>
      <c r="B374" s="2" t="s">
        <v>23</v>
      </c>
      <c r="C374" s="2">
        <v>14566.5</v>
      </c>
      <c r="D374" s="2">
        <v>1216557</v>
      </c>
      <c r="E374" s="3"/>
      <c r="F374" s="3"/>
      <c r="G374" s="3"/>
    </row>
    <row r="375" spans="1:7" ht="14.25" customHeight="1" x14ac:dyDescent="0.45">
      <c r="A375" s="9">
        <v>43959</v>
      </c>
      <c r="B375" s="4" t="s">
        <v>23</v>
      </c>
      <c r="C375" s="4">
        <v>12976.5</v>
      </c>
      <c r="D375" s="4">
        <v>1046848.5</v>
      </c>
      <c r="E375" s="3"/>
      <c r="F375" s="3"/>
      <c r="G375" s="3"/>
    </row>
    <row r="376" spans="1:7" ht="14.25" customHeight="1" x14ac:dyDescent="0.45">
      <c r="A376" s="8">
        <v>43958</v>
      </c>
      <c r="B376" s="2" t="s">
        <v>23</v>
      </c>
      <c r="C376" s="2">
        <v>11719.5</v>
      </c>
      <c r="D376" s="2">
        <v>965880</v>
      </c>
      <c r="E376" s="3"/>
      <c r="F376" s="3"/>
      <c r="G376" s="3"/>
    </row>
    <row r="377" spans="1:7" ht="14.25" customHeight="1" x14ac:dyDescent="0.45">
      <c r="A377" s="9">
        <v>43975</v>
      </c>
      <c r="B377" s="4" t="s">
        <v>23</v>
      </c>
      <c r="C377" s="4">
        <v>17197.5</v>
      </c>
      <c r="D377" s="4">
        <v>1386262.5</v>
      </c>
      <c r="E377" s="3"/>
      <c r="F377" s="3"/>
      <c r="G377" s="3"/>
    </row>
    <row r="378" spans="1:7" ht="14.25" customHeight="1" x14ac:dyDescent="0.45">
      <c r="A378" s="8">
        <v>43977</v>
      </c>
      <c r="B378" s="2" t="s">
        <v>23</v>
      </c>
      <c r="C378" s="2">
        <v>14419.5</v>
      </c>
      <c r="D378" s="2">
        <v>1210456.5</v>
      </c>
      <c r="E378" s="3"/>
      <c r="F378" s="3"/>
      <c r="G378" s="3"/>
    </row>
    <row r="379" spans="1:7" ht="14.25" customHeight="1" x14ac:dyDescent="0.45">
      <c r="A379" s="9">
        <v>43983</v>
      </c>
      <c r="B379" s="4" t="s">
        <v>9</v>
      </c>
      <c r="C379" s="4">
        <v>7816.5</v>
      </c>
      <c r="D379" s="4">
        <v>636345</v>
      </c>
      <c r="E379" s="3"/>
      <c r="F379" s="3"/>
      <c r="G379" s="3"/>
    </row>
    <row r="380" spans="1:7" ht="14.25" customHeight="1" x14ac:dyDescent="0.45">
      <c r="A380" s="8">
        <v>43982</v>
      </c>
      <c r="B380" s="2" t="s">
        <v>25</v>
      </c>
      <c r="C380" s="2">
        <v>6409.5</v>
      </c>
      <c r="D380" s="2">
        <v>493893</v>
      </c>
      <c r="E380" s="3"/>
      <c r="F380" s="3"/>
      <c r="G380" s="3"/>
    </row>
    <row r="381" spans="1:7" ht="14.25" customHeight="1" x14ac:dyDescent="0.45">
      <c r="A381" s="9">
        <v>43981</v>
      </c>
      <c r="B381" s="4" t="s">
        <v>24</v>
      </c>
      <c r="C381" s="4">
        <v>11220</v>
      </c>
      <c r="D381" s="4">
        <v>928675.5</v>
      </c>
      <c r="E381" s="3"/>
      <c r="F381" s="3"/>
      <c r="G381" s="3"/>
    </row>
    <row r="382" spans="1:7" ht="14.25" customHeight="1" x14ac:dyDescent="0.45">
      <c r="A382" s="8">
        <v>43980</v>
      </c>
      <c r="B382" s="2" t="s">
        <v>9</v>
      </c>
      <c r="C382" s="2">
        <v>8350.5</v>
      </c>
      <c r="D382" s="2">
        <v>651237</v>
      </c>
      <c r="E382" s="3"/>
      <c r="F382" s="3"/>
      <c r="G382" s="3"/>
    </row>
    <row r="383" spans="1:7" ht="14.25" customHeight="1" x14ac:dyDescent="0.45">
      <c r="A383" s="9">
        <v>43979</v>
      </c>
      <c r="B383" s="4" t="s">
        <v>24</v>
      </c>
      <c r="C383" s="4">
        <v>8428.5</v>
      </c>
      <c r="D383" s="4">
        <v>694669.5</v>
      </c>
      <c r="E383" s="3"/>
      <c r="F383" s="3"/>
      <c r="G383" s="3"/>
    </row>
    <row r="384" spans="1:7" ht="14.25" customHeight="1" x14ac:dyDescent="0.45">
      <c r="A384" s="8">
        <v>43978</v>
      </c>
      <c r="B384" s="2" t="s">
        <v>10</v>
      </c>
      <c r="C384" s="2">
        <v>32817</v>
      </c>
      <c r="D384" s="2">
        <v>3015751.5</v>
      </c>
      <c r="E384" s="3"/>
      <c r="F384" s="3"/>
      <c r="G384" s="3"/>
    </row>
    <row r="385" spans="1:7" ht="14.25" customHeight="1" x14ac:dyDescent="0.45">
      <c r="A385" s="9">
        <v>43973</v>
      </c>
      <c r="B385" s="4" t="s">
        <v>10</v>
      </c>
      <c r="C385" s="4">
        <v>36031.5</v>
      </c>
      <c r="D385" s="4">
        <v>3091069.5</v>
      </c>
      <c r="E385" s="3"/>
      <c r="F385" s="3"/>
      <c r="G385" s="3"/>
    </row>
    <row r="386" spans="1:7" ht="14.25" customHeight="1" x14ac:dyDescent="0.45">
      <c r="A386" s="8">
        <v>43982</v>
      </c>
      <c r="B386" s="2" t="s">
        <v>26</v>
      </c>
      <c r="C386" s="2">
        <v>5127</v>
      </c>
      <c r="D386" s="2">
        <v>468835.5</v>
      </c>
      <c r="E386" s="3"/>
      <c r="F386" s="3"/>
      <c r="G386" s="3"/>
    </row>
    <row r="387" spans="1:7" ht="14.25" customHeight="1" x14ac:dyDescent="0.45">
      <c r="A387" s="9">
        <v>43962</v>
      </c>
      <c r="B387" s="4" t="s">
        <v>10</v>
      </c>
      <c r="C387" s="4">
        <v>27187.5</v>
      </c>
      <c r="D387" s="4">
        <v>2479396.5</v>
      </c>
      <c r="E387" s="3"/>
      <c r="F387" s="3"/>
      <c r="G387" s="3"/>
    </row>
    <row r="388" spans="1:7" ht="14.25" customHeight="1" x14ac:dyDescent="0.45">
      <c r="A388" s="8">
        <v>43981</v>
      </c>
      <c r="B388" s="2" t="s">
        <v>23</v>
      </c>
      <c r="C388" s="2">
        <v>20688</v>
      </c>
      <c r="D388" s="2">
        <v>1773154.5</v>
      </c>
      <c r="E388" s="3"/>
      <c r="F388" s="3"/>
      <c r="G388" s="3"/>
    </row>
    <row r="389" spans="1:7" ht="14.25" customHeight="1" x14ac:dyDescent="0.45">
      <c r="A389" s="9">
        <v>43979</v>
      </c>
      <c r="B389" s="4" t="s">
        <v>23</v>
      </c>
      <c r="C389" s="4">
        <v>15678</v>
      </c>
      <c r="D389" s="4">
        <v>1387443</v>
      </c>
      <c r="E389" s="3"/>
      <c r="F389" s="3"/>
      <c r="G389" s="3"/>
    </row>
    <row r="390" spans="1:7" ht="14.25" customHeight="1" x14ac:dyDescent="0.45">
      <c r="A390" s="8">
        <v>43969</v>
      </c>
      <c r="B390" s="2" t="s">
        <v>10</v>
      </c>
      <c r="C390" s="2">
        <v>31329</v>
      </c>
      <c r="D390" s="2">
        <v>2826379.5</v>
      </c>
      <c r="E390" s="3"/>
      <c r="F390" s="3"/>
      <c r="G390" s="3"/>
    </row>
    <row r="391" spans="1:7" ht="14.25" customHeight="1" x14ac:dyDescent="0.45">
      <c r="A391" s="9">
        <v>43965</v>
      </c>
      <c r="B391" s="4" t="s">
        <v>10</v>
      </c>
      <c r="C391" s="4">
        <v>29658</v>
      </c>
      <c r="D391" s="4">
        <v>2703132</v>
      </c>
      <c r="E391" s="3"/>
      <c r="F391" s="3"/>
      <c r="G391" s="3"/>
    </row>
    <row r="392" spans="1:7" ht="14.25" customHeight="1" x14ac:dyDescent="0.45">
      <c r="A392" s="8">
        <v>43966</v>
      </c>
      <c r="B392" s="2" t="s">
        <v>10</v>
      </c>
      <c r="C392" s="2">
        <v>34150.5</v>
      </c>
      <c r="D392" s="2">
        <v>3038293.5</v>
      </c>
      <c r="E392" s="3"/>
      <c r="F392" s="3"/>
      <c r="G392" s="3"/>
    </row>
    <row r="393" spans="1:7" ht="14.25" customHeight="1" x14ac:dyDescent="0.45">
      <c r="A393" s="9">
        <v>43983</v>
      </c>
      <c r="B393" s="4" t="s">
        <v>10</v>
      </c>
      <c r="C393" s="4">
        <v>31947</v>
      </c>
      <c r="D393" s="4">
        <v>2945035.5</v>
      </c>
      <c r="E393" s="3"/>
      <c r="F393" s="3"/>
      <c r="G393" s="3"/>
    </row>
    <row r="394" spans="1:7" ht="14.25" customHeight="1" x14ac:dyDescent="0.45">
      <c r="A394" s="8">
        <v>43982</v>
      </c>
      <c r="B394" s="2" t="s">
        <v>24</v>
      </c>
      <c r="C394" s="2">
        <v>10416</v>
      </c>
      <c r="D394" s="2">
        <v>866023.5</v>
      </c>
      <c r="E394" s="3"/>
      <c r="F394" s="3"/>
      <c r="G394" s="3"/>
    </row>
    <row r="395" spans="1:7" ht="14.25" customHeight="1" x14ac:dyDescent="0.45">
      <c r="A395" s="9">
        <v>43980</v>
      </c>
      <c r="B395" s="4" t="s">
        <v>10</v>
      </c>
      <c r="C395" s="4">
        <v>35431.5</v>
      </c>
      <c r="D395" s="4">
        <v>3193167</v>
      </c>
      <c r="E395" s="3"/>
      <c r="F395" s="3"/>
      <c r="G395" s="3"/>
    </row>
    <row r="396" spans="1:7" ht="14.25" customHeight="1" x14ac:dyDescent="0.45">
      <c r="A396" s="8">
        <v>43978</v>
      </c>
      <c r="B396" s="2" t="s">
        <v>11</v>
      </c>
      <c r="C396" s="2">
        <v>78544.5</v>
      </c>
      <c r="D396" s="2">
        <v>6701083.5</v>
      </c>
      <c r="E396" s="3"/>
      <c r="F396" s="3"/>
      <c r="G396" s="3"/>
    </row>
    <row r="397" spans="1:7" ht="14.25" customHeight="1" x14ac:dyDescent="0.45">
      <c r="A397" s="9">
        <v>43973</v>
      </c>
      <c r="B397" s="4" t="s">
        <v>11</v>
      </c>
      <c r="C397" s="4">
        <v>97963.5</v>
      </c>
      <c r="D397" s="4">
        <v>7728465</v>
      </c>
      <c r="E397" s="3"/>
      <c r="F397" s="3"/>
      <c r="G397" s="3"/>
    </row>
    <row r="398" spans="1:7" ht="14.25" customHeight="1" x14ac:dyDescent="0.45">
      <c r="A398" s="8">
        <v>43983</v>
      </c>
      <c r="B398" s="2" t="s">
        <v>11</v>
      </c>
      <c r="C398" s="2">
        <v>77269.5</v>
      </c>
      <c r="D398" s="2">
        <v>6829921.5</v>
      </c>
      <c r="E398" s="3"/>
      <c r="F398" s="3"/>
      <c r="G398" s="3"/>
    </row>
    <row r="399" spans="1:7" ht="14.25" customHeight="1" x14ac:dyDescent="0.45">
      <c r="A399" s="9">
        <v>43982</v>
      </c>
      <c r="B399" s="4" t="s">
        <v>23</v>
      </c>
      <c r="C399" s="4">
        <v>16143</v>
      </c>
      <c r="D399" s="4">
        <v>1423410</v>
      </c>
      <c r="E399" s="3"/>
      <c r="F399" s="3"/>
      <c r="G399" s="3"/>
    </row>
    <row r="400" spans="1:7" ht="14.25" customHeight="1" x14ac:dyDescent="0.45">
      <c r="A400" s="8">
        <v>43962</v>
      </c>
      <c r="B400" s="2" t="s">
        <v>11</v>
      </c>
      <c r="C400" s="2">
        <v>72220.5</v>
      </c>
      <c r="D400" s="2">
        <v>6398719.5</v>
      </c>
      <c r="E400" s="3"/>
      <c r="F400" s="3"/>
      <c r="G400" s="3"/>
    </row>
    <row r="401" spans="1:7" ht="14.25" customHeight="1" x14ac:dyDescent="0.45">
      <c r="A401" s="9">
        <v>43969</v>
      </c>
      <c r="B401" s="4" t="s">
        <v>11</v>
      </c>
      <c r="C401" s="4">
        <v>78058.5</v>
      </c>
      <c r="D401" s="4">
        <v>6609714</v>
      </c>
      <c r="E401" s="3"/>
      <c r="F401" s="3"/>
      <c r="G401" s="3"/>
    </row>
    <row r="402" spans="1:7" ht="14.25" customHeight="1" x14ac:dyDescent="0.45">
      <c r="A402" s="8">
        <v>43965</v>
      </c>
      <c r="B402" s="2" t="s">
        <v>11</v>
      </c>
      <c r="C402" s="2">
        <v>70498.5</v>
      </c>
      <c r="D402" s="2">
        <v>6053649</v>
      </c>
      <c r="E402" s="3"/>
      <c r="F402" s="3"/>
      <c r="G402" s="3"/>
    </row>
    <row r="403" spans="1:7" ht="14.25" customHeight="1" x14ac:dyDescent="0.45">
      <c r="A403" s="9">
        <v>43966</v>
      </c>
      <c r="B403" s="4" t="s">
        <v>11</v>
      </c>
      <c r="C403" s="4">
        <v>78961.5</v>
      </c>
      <c r="D403" s="4">
        <v>6876454.5</v>
      </c>
      <c r="E403" s="3"/>
      <c r="F403" s="3"/>
      <c r="G403" s="3"/>
    </row>
    <row r="404" spans="1:7" ht="14.25" customHeight="1" x14ac:dyDescent="0.45">
      <c r="A404" s="8">
        <v>43978</v>
      </c>
      <c r="B404" s="2" t="s">
        <v>12</v>
      </c>
      <c r="C404" s="2">
        <v>12490.5</v>
      </c>
      <c r="D404" s="2">
        <v>1054798.5</v>
      </c>
      <c r="E404" s="3"/>
      <c r="F404" s="3"/>
      <c r="G404" s="3"/>
    </row>
    <row r="405" spans="1:7" ht="14.25" customHeight="1" x14ac:dyDescent="0.45">
      <c r="A405" s="9">
        <v>43973</v>
      </c>
      <c r="B405" s="4" t="s">
        <v>12</v>
      </c>
      <c r="C405" s="4">
        <v>18036</v>
      </c>
      <c r="D405" s="4">
        <v>1455049.5</v>
      </c>
      <c r="E405" s="3"/>
      <c r="F405" s="3"/>
      <c r="G405" s="3"/>
    </row>
    <row r="406" spans="1:7" ht="14.25" customHeight="1" x14ac:dyDescent="0.45">
      <c r="A406" s="8">
        <v>43983</v>
      </c>
      <c r="B406" s="2" t="s">
        <v>12</v>
      </c>
      <c r="C406" s="2">
        <v>11416.5</v>
      </c>
      <c r="D406" s="2">
        <v>1007742</v>
      </c>
      <c r="E406" s="3"/>
      <c r="F406" s="3"/>
      <c r="G406" s="3"/>
    </row>
    <row r="407" spans="1:7" ht="14.25" customHeight="1" x14ac:dyDescent="0.45">
      <c r="A407" s="9">
        <v>43962</v>
      </c>
      <c r="B407" s="4" t="s">
        <v>12</v>
      </c>
      <c r="C407" s="4">
        <v>9007.5</v>
      </c>
      <c r="D407" s="4">
        <v>734335.5</v>
      </c>
      <c r="E407" s="3"/>
      <c r="F407" s="3"/>
      <c r="G407" s="3"/>
    </row>
    <row r="408" spans="1:7" ht="14.25" customHeight="1" x14ac:dyDescent="0.45">
      <c r="A408" s="8">
        <v>43980</v>
      </c>
      <c r="B408" s="2" t="s">
        <v>11</v>
      </c>
      <c r="C408" s="2">
        <v>87552</v>
      </c>
      <c r="D408" s="2">
        <v>7387116</v>
      </c>
      <c r="E408" s="3"/>
      <c r="F408" s="3"/>
      <c r="G408" s="3"/>
    </row>
    <row r="409" spans="1:7" ht="14.25" customHeight="1" x14ac:dyDescent="0.45">
      <c r="A409" s="9">
        <v>43969</v>
      </c>
      <c r="B409" s="4" t="s">
        <v>12</v>
      </c>
      <c r="C409" s="4">
        <v>11680.5</v>
      </c>
      <c r="D409" s="4">
        <v>936427.5</v>
      </c>
      <c r="E409" s="3"/>
      <c r="F409" s="3"/>
      <c r="G409" s="3"/>
    </row>
    <row r="410" spans="1:7" ht="14.25" customHeight="1" x14ac:dyDescent="0.45">
      <c r="A410" s="8">
        <v>43965</v>
      </c>
      <c r="B410" s="2" t="s">
        <v>12</v>
      </c>
      <c r="C410" s="2">
        <v>12037.5</v>
      </c>
      <c r="D410" s="2">
        <v>981564</v>
      </c>
      <c r="E410" s="3"/>
      <c r="F410" s="3"/>
      <c r="G410" s="3"/>
    </row>
    <row r="411" spans="1:7" ht="14.25" customHeight="1" x14ac:dyDescent="0.45">
      <c r="A411" s="9">
        <v>43966</v>
      </c>
      <c r="B411" s="4" t="s">
        <v>12</v>
      </c>
      <c r="C411" s="4">
        <v>14421</v>
      </c>
      <c r="D411" s="4">
        <v>1150579.5</v>
      </c>
      <c r="E411" s="3"/>
      <c r="F411" s="3"/>
      <c r="G411" s="3"/>
    </row>
    <row r="412" spans="1:7" ht="14.25" customHeight="1" x14ac:dyDescent="0.45">
      <c r="A412" s="8">
        <v>43980</v>
      </c>
      <c r="B412" s="2" t="s">
        <v>12</v>
      </c>
      <c r="C412" s="2">
        <v>14823</v>
      </c>
      <c r="D412" s="2">
        <v>1273464</v>
      </c>
      <c r="E412" s="3"/>
      <c r="F412" s="3"/>
      <c r="G412" s="3"/>
    </row>
    <row r="413" spans="1:7" ht="14.25" customHeight="1" x14ac:dyDescent="0.45">
      <c r="A413" s="9">
        <v>43978</v>
      </c>
      <c r="B413" s="4" t="s">
        <v>13</v>
      </c>
      <c r="C413" s="4">
        <v>31257</v>
      </c>
      <c r="D413" s="4">
        <v>2924133</v>
      </c>
      <c r="E413" s="3"/>
      <c r="F413" s="3"/>
      <c r="G413" s="3"/>
    </row>
    <row r="414" spans="1:7" ht="14.25" customHeight="1" x14ac:dyDescent="0.45">
      <c r="A414" s="8">
        <v>43973</v>
      </c>
      <c r="B414" s="2" t="s">
        <v>13</v>
      </c>
      <c r="C414" s="2">
        <v>38074.5</v>
      </c>
      <c r="D414" s="2">
        <v>3414180</v>
      </c>
      <c r="E414" s="3"/>
      <c r="F414" s="3"/>
      <c r="G414" s="3"/>
    </row>
    <row r="415" spans="1:7" ht="14.25" customHeight="1" x14ac:dyDescent="0.45">
      <c r="A415" s="9">
        <v>43983</v>
      </c>
      <c r="B415" s="4" t="s">
        <v>13</v>
      </c>
      <c r="C415" s="4">
        <v>32170.5</v>
      </c>
      <c r="D415" s="4">
        <v>3013512</v>
      </c>
      <c r="E415" s="3"/>
      <c r="F415" s="3"/>
      <c r="G415" s="3"/>
    </row>
    <row r="416" spans="1:7" ht="14.25" customHeight="1" x14ac:dyDescent="0.45">
      <c r="A416" s="8">
        <v>43962</v>
      </c>
      <c r="B416" s="2" t="s">
        <v>13</v>
      </c>
      <c r="C416" s="2">
        <v>42397.5</v>
      </c>
      <c r="D416" s="2">
        <v>3911979</v>
      </c>
      <c r="E416" s="3"/>
      <c r="F416" s="3"/>
      <c r="G416" s="3"/>
    </row>
    <row r="417" spans="1:7" ht="14.25" customHeight="1" x14ac:dyDescent="0.45">
      <c r="A417" s="9">
        <v>43969</v>
      </c>
      <c r="B417" s="4" t="s">
        <v>13</v>
      </c>
      <c r="C417" s="4">
        <v>28668</v>
      </c>
      <c r="D417" s="4">
        <v>2588148</v>
      </c>
      <c r="E417" s="3"/>
      <c r="F417" s="3"/>
      <c r="G417" s="3"/>
    </row>
    <row r="418" spans="1:7" ht="14.25" customHeight="1" x14ac:dyDescent="0.45">
      <c r="A418" s="8">
        <v>43965</v>
      </c>
      <c r="B418" s="2" t="s">
        <v>13</v>
      </c>
      <c r="C418" s="2">
        <v>27411</v>
      </c>
      <c r="D418" s="2">
        <v>2441520</v>
      </c>
      <c r="E418" s="3"/>
      <c r="F418" s="3"/>
      <c r="G418" s="3"/>
    </row>
    <row r="419" spans="1:7" ht="14.25" customHeight="1" x14ac:dyDescent="0.45">
      <c r="A419" s="9">
        <v>43966</v>
      </c>
      <c r="B419" s="4" t="s">
        <v>13</v>
      </c>
      <c r="C419" s="4">
        <v>32854.5</v>
      </c>
      <c r="D419" s="4">
        <v>2949078</v>
      </c>
      <c r="E419" s="3"/>
      <c r="F419" s="3"/>
      <c r="G419" s="3"/>
    </row>
    <row r="420" spans="1:7" ht="14.25" customHeight="1" x14ac:dyDescent="0.45">
      <c r="A420" s="8">
        <v>43980</v>
      </c>
      <c r="B420" s="2" t="s">
        <v>13</v>
      </c>
      <c r="C420" s="2">
        <v>35346</v>
      </c>
      <c r="D420" s="2">
        <v>3258054</v>
      </c>
      <c r="E420" s="3"/>
      <c r="F420" s="3"/>
      <c r="G420" s="3"/>
    </row>
    <row r="421" spans="1:7" ht="14.25" customHeight="1" x14ac:dyDescent="0.45">
      <c r="A421" s="9">
        <v>43978</v>
      </c>
      <c r="B421" s="4" t="s">
        <v>14</v>
      </c>
      <c r="C421" s="4">
        <v>286558.5</v>
      </c>
      <c r="D421" s="4">
        <v>29256993</v>
      </c>
      <c r="E421" s="3"/>
      <c r="F421" s="3"/>
      <c r="G421" s="3"/>
    </row>
    <row r="422" spans="1:7" ht="14.25" customHeight="1" x14ac:dyDescent="0.45">
      <c r="A422" s="8">
        <v>43973</v>
      </c>
      <c r="B422" s="2" t="s">
        <v>14</v>
      </c>
      <c r="C422" s="2">
        <v>304092</v>
      </c>
      <c r="D422" s="2">
        <v>29465769</v>
      </c>
      <c r="E422" s="3"/>
      <c r="F422" s="3"/>
      <c r="G422" s="3"/>
    </row>
    <row r="423" spans="1:7" ht="14.25" customHeight="1" x14ac:dyDescent="0.45">
      <c r="A423" s="9">
        <v>43983</v>
      </c>
      <c r="B423" s="4" t="s">
        <v>14</v>
      </c>
      <c r="C423" s="4">
        <v>272926.5</v>
      </c>
      <c r="D423" s="4">
        <v>27770092.5</v>
      </c>
      <c r="E423" s="3"/>
      <c r="F423" s="3"/>
      <c r="G423" s="3"/>
    </row>
    <row r="424" spans="1:7" ht="14.25" customHeight="1" x14ac:dyDescent="0.45">
      <c r="A424" s="8">
        <v>43962</v>
      </c>
      <c r="B424" s="2" t="s">
        <v>14</v>
      </c>
      <c r="C424" s="2">
        <v>237099</v>
      </c>
      <c r="D424" s="2">
        <v>24628233.223949999</v>
      </c>
      <c r="E424" s="3"/>
      <c r="F424" s="3"/>
      <c r="G424" s="3"/>
    </row>
    <row r="425" spans="1:7" ht="14.25" customHeight="1" x14ac:dyDescent="0.45">
      <c r="A425" s="9">
        <v>43969</v>
      </c>
      <c r="B425" s="4" t="s">
        <v>14</v>
      </c>
      <c r="C425" s="4">
        <v>273900</v>
      </c>
      <c r="D425" s="4">
        <v>27535284.147600003</v>
      </c>
      <c r="E425" s="3"/>
      <c r="F425" s="3"/>
      <c r="G425" s="3"/>
    </row>
    <row r="426" spans="1:7" ht="14.25" customHeight="1" x14ac:dyDescent="0.45">
      <c r="A426" s="8">
        <v>43965</v>
      </c>
      <c r="B426" s="2" t="s">
        <v>14</v>
      </c>
      <c r="C426" s="2">
        <v>274059</v>
      </c>
      <c r="D426" s="2">
        <v>28181292</v>
      </c>
      <c r="E426" s="3"/>
      <c r="F426" s="3"/>
      <c r="G426" s="3"/>
    </row>
    <row r="427" spans="1:7" ht="14.25" customHeight="1" x14ac:dyDescent="0.45">
      <c r="A427" s="9">
        <v>43966</v>
      </c>
      <c r="B427" s="4" t="s">
        <v>14</v>
      </c>
      <c r="C427" s="4">
        <v>318816</v>
      </c>
      <c r="D427" s="4">
        <v>32354331</v>
      </c>
      <c r="E427" s="3"/>
      <c r="F427" s="3"/>
      <c r="G427" s="3"/>
    </row>
    <row r="428" spans="1:7" ht="14.25" customHeight="1" x14ac:dyDescent="0.45">
      <c r="A428" s="8">
        <v>43978</v>
      </c>
      <c r="B428" s="2" t="s">
        <v>15</v>
      </c>
      <c r="C428" s="2">
        <v>370012.5</v>
      </c>
      <c r="D428" s="2">
        <v>39034861.5</v>
      </c>
      <c r="E428" s="3"/>
      <c r="F428" s="3"/>
      <c r="G428" s="3"/>
    </row>
    <row r="429" spans="1:7" ht="14.25" customHeight="1" x14ac:dyDescent="0.45">
      <c r="A429" s="9">
        <v>43973</v>
      </c>
      <c r="B429" s="4" t="s">
        <v>15</v>
      </c>
      <c r="C429" s="4">
        <v>393018</v>
      </c>
      <c r="D429" s="4">
        <v>39498373.5</v>
      </c>
      <c r="E429" s="3"/>
      <c r="F429" s="3"/>
      <c r="G429" s="3"/>
    </row>
    <row r="430" spans="1:7" ht="14.25" customHeight="1" x14ac:dyDescent="0.45">
      <c r="A430" s="8">
        <v>43983</v>
      </c>
      <c r="B430" s="2" t="s">
        <v>15</v>
      </c>
      <c r="C430" s="2">
        <v>349699.5</v>
      </c>
      <c r="D430" s="2">
        <v>37257840.18135</v>
      </c>
      <c r="E430" s="3"/>
      <c r="F430" s="3"/>
      <c r="G430" s="3"/>
    </row>
    <row r="431" spans="1:7" ht="14.25" customHeight="1" x14ac:dyDescent="0.45">
      <c r="A431" s="9">
        <v>43962</v>
      </c>
      <c r="B431" s="4" t="s">
        <v>15</v>
      </c>
      <c r="C431" s="4">
        <v>318565.5</v>
      </c>
      <c r="D431" s="4">
        <v>33781581</v>
      </c>
      <c r="E431" s="3"/>
      <c r="F431" s="3"/>
      <c r="G431" s="3"/>
    </row>
    <row r="432" spans="1:7" ht="14.25" customHeight="1" x14ac:dyDescent="0.45">
      <c r="A432" s="8">
        <v>43980</v>
      </c>
      <c r="B432" s="2" t="s">
        <v>14</v>
      </c>
      <c r="C432" s="2">
        <v>422965.5</v>
      </c>
      <c r="D432" s="2">
        <v>41767140.105000004</v>
      </c>
      <c r="E432" s="3"/>
      <c r="F432" s="3"/>
      <c r="G432" s="3"/>
    </row>
    <row r="433" spans="1:7" ht="14.25" customHeight="1" x14ac:dyDescent="0.45">
      <c r="A433" s="9">
        <v>43969</v>
      </c>
      <c r="B433" s="4" t="s">
        <v>15</v>
      </c>
      <c r="C433" s="4">
        <v>355081.5</v>
      </c>
      <c r="D433" s="4">
        <v>36876888</v>
      </c>
      <c r="E433" s="3"/>
      <c r="F433" s="3"/>
      <c r="G433" s="3"/>
    </row>
    <row r="434" spans="1:7" ht="14.25" customHeight="1" x14ac:dyDescent="0.45">
      <c r="A434" s="8">
        <v>43965</v>
      </c>
      <c r="B434" s="2" t="s">
        <v>15</v>
      </c>
      <c r="C434" s="2">
        <v>358387.5</v>
      </c>
      <c r="D434" s="2">
        <v>37963150.5</v>
      </c>
      <c r="E434" s="3"/>
      <c r="F434" s="3"/>
      <c r="G434" s="3"/>
    </row>
    <row r="435" spans="1:7" ht="14.25" customHeight="1" x14ac:dyDescent="0.45">
      <c r="A435" s="9">
        <v>43966</v>
      </c>
      <c r="B435" s="4" t="s">
        <v>15</v>
      </c>
      <c r="C435" s="4">
        <v>403261.5</v>
      </c>
      <c r="D435" s="4">
        <v>42271377</v>
      </c>
      <c r="E435" s="3"/>
      <c r="F435" s="3"/>
      <c r="G435" s="3"/>
    </row>
    <row r="436" spans="1:7" ht="14.25" customHeight="1" x14ac:dyDescent="0.45">
      <c r="A436" s="8">
        <v>43978</v>
      </c>
      <c r="B436" s="2" t="s">
        <v>16</v>
      </c>
      <c r="C436" s="2">
        <v>69010.5</v>
      </c>
      <c r="D436" s="2">
        <v>5985894</v>
      </c>
      <c r="E436" s="3"/>
      <c r="F436" s="3"/>
      <c r="G436" s="3"/>
    </row>
    <row r="437" spans="1:7" ht="14.25" customHeight="1" x14ac:dyDescent="0.45">
      <c r="A437" s="9">
        <v>43973</v>
      </c>
      <c r="B437" s="4" t="s">
        <v>16</v>
      </c>
      <c r="C437" s="4">
        <v>75820.5</v>
      </c>
      <c r="D437" s="4">
        <v>5943489</v>
      </c>
      <c r="E437" s="3"/>
      <c r="F437" s="3"/>
      <c r="G437" s="3"/>
    </row>
    <row r="438" spans="1:7" ht="14.25" customHeight="1" x14ac:dyDescent="0.45">
      <c r="A438" s="8">
        <v>43983</v>
      </c>
      <c r="B438" s="2" t="s">
        <v>16</v>
      </c>
      <c r="C438" s="2">
        <v>64740</v>
      </c>
      <c r="D438" s="2">
        <v>5800290</v>
      </c>
      <c r="E438" s="3"/>
      <c r="F438" s="3"/>
      <c r="G438" s="3"/>
    </row>
    <row r="439" spans="1:7" ht="14.25" customHeight="1" x14ac:dyDescent="0.45">
      <c r="A439" s="9">
        <v>43962</v>
      </c>
      <c r="B439" s="4" t="s">
        <v>16</v>
      </c>
      <c r="C439" s="4">
        <v>59574</v>
      </c>
      <c r="D439" s="4">
        <v>5178169.5</v>
      </c>
      <c r="E439" s="3"/>
      <c r="F439" s="3"/>
      <c r="G439" s="3"/>
    </row>
    <row r="440" spans="1:7" ht="14.25" customHeight="1" x14ac:dyDescent="0.45">
      <c r="A440" s="8">
        <v>43980</v>
      </c>
      <c r="B440" s="2" t="s">
        <v>15</v>
      </c>
      <c r="C440" s="2">
        <v>524481</v>
      </c>
      <c r="D440" s="2">
        <v>54172029</v>
      </c>
      <c r="E440" s="3"/>
      <c r="F440" s="3"/>
      <c r="G440" s="3"/>
    </row>
    <row r="441" spans="1:7" ht="14.25" customHeight="1" x14ac:dyDescent="0.45">
      <c r="A441" s="9">
        <v>43969</v>
      </c>
      <c r="B441" s="4" t="s">
        <v>16</v>
      </c>
      <c r="C441" s="4">
        <v>70278</v>
      </c>
      <c r="D441" s="4">
        <v>5798476.5</v>
      </c>
      <c r="E441" s="3"/>
      <c r="F441" s="3"/>
      <c r="G441" s="3"/>
    </row>
    <row r="442" spans="1:7" ht="14.25" customHeight="1" x14ac:dyDescent="0.45">
      <c r="A442" s="8">
        <v>43965</v>
      </c>
      <c r="B442" s="2" t="s">
        <v>16</v>
      </c>
      <c r="C442" s="2">
        <v>63645</v>
      </c>
      <c r="D442" s="2">
        <v>5366602.5</v>
      </c>
      <c r="E442" s="3"/>
      <c r="F442" s="3"/>
      <c r="G442" s="3"/>
    </row>
    <row r="443" spans="1:7" ht="14.25" customHeight="1" x14ac:dyDescent="0.45">
      <c r="A443" s="9">
        <v>43966</v>
      </c>
      <c r="B443" s="4" t="s">
        <v>16</v>
      </c>
      <c r="C443" s="4">
        <v>75642</v>
      </c>
      <c r="D443" s="4">
        <v>6293952</v>
      </c>
      <c r="E443" s="3"/>
      <c r="F443" s="3"/>
      <c r="G443" s="3"/>
    </row>
    <row r="444" spans="1:7" ht="14.25" customHeight="1" x14ac:dyDescent="0.45">
      <c r="A444" s="8">
        <v>43978</v>
      </c>
      <c r="B444" s="2" t="s">
        <v>17</v>
      </c>
      <c r="C444" s="2">
        <v>40420.5</v>
      </c>
      <c r="D444" s="2">
        <v>3780852</v>
      </c>
      <c r="E444" s="3"/>
      <c r="F444" s="3"/>
      <c r="G444" s="3"/>
    </row>
    <row r="445" spans="1:7" ht="14.25" customHeight="1" x14ac:dyDescent="0.45">
      <c r="A445" s="9">
        <v>43973</v>
      </c>
      <c r="B445" s="4" t="s">
        <v>17</v>
      </c>
      <c r="C445" s="4">
        <v>53838</v>
      </c>
      <c r="D445" s="4">
        <v>4840833</v>
      </c>
      <c r="E445" s="3"/>
      <c r="F445" s="3"/>
      <c r="G445" s="3"/>
    </row>
    <row r="446" spans="1:7" ht="14.25" customHeight="1" x14ac:dyDescent="0.45">
      <c r="A446" s="8">
        <v>43983</v>
      </c>
      <c r="B446" s="2" t="s">
        <v>17</v>
      </c>
      <c r="C446" s="2">
        <v>40528.5</v>
      </c>
      <c r="D446" s="2">
        <v>3865251</v>
      </c>
      <c r="E446" s="3"/>
      <c r="F446" s="3"/>
      <c r="G446" s="3"/>
    </row>
    <row r="447" spans="1:7" ht="14.25" customHeight="1" x14ac:dyDescent="0.45">
      <c r="A447" s="9">
        <v>43962</v>
      </c>
      <c r="B447" s="4" t="s">
        <v>17</v>
      </c>
      <c r="C447" s="4">
        <v>32733</v>
      </c>
      <c r="D447" s="4">
        <v>3079630.5</v>
      </c>
      <c r="E447" s="3"/>
      <c r="F447" s="3"/>
      <c r="G447" s="3"/>
    </row>
    <row r="448" spans="1:7" ht="14.25" customHeight="1" x14ac:dyDescent="0.45">
      <c r="A448" s="8">
        <v>43980</v>
      </c>
      <c r="B448" s="2" t="s">
        <v>16</v>
      </c>
      <c r="C448" s="2">
        <v>84433.5</v>
      </c>
      <c r="D448" s="2">
        <v>7228395</v>
      </c>
      <c r="E448" s="3"/>
      <c r="F448" s="3"/>
      <c r="G448" s="3"/>
    </row>
    <row r="449" spans="1:7" ht="14.25" customHeight="1" x14ac:dyDescent="0.45">
      <c r="A449" s="9">
        <v>43969</v>
      </c>
      <c r="B449" s="4" t="s">
        <v>17</v>
      </c>
      <c r="C449" s="4">
        <v>36655.5</v>
      </c>
      <c r="D449" s="4">
        <v>3360135</v>
      </c>
      <c r="E449" s="3"/>
      <c r="F449" s="3"/>
      <c r="G449" s="3"/>
    </row>
    <row r="450" spans="1:7" ht="14.25" customHeight="1" x14ac:dyDescent="0.45">
      <c r="A450" s="8">
        <v>43965</v>
      </c>
      <c r="B450" s="2" t="s">
        <v>17</v>
      </c>
      <c r="C450" s="2">
        <v>33886.5</v>
      </c>
      <c r="D450" s="2">
        <v>3166479</v>
      </c>
      <c r="E450" s="3"/>
      <c r="F450" s="3"/>
      <c r="G450" s="3"/>
    </row>
    <row r="451" spans="1:7" ht="14.25" customHeight="1" x14ac:dyDescent="0.45">
      <c r="A451" s="9">
        <v>43966</v>
      </c>
      <c r="B451" s="4" t="s">
        <v>17</v>
      </c>
      <c r="C451" s="4">
        <v>41697</v>
      </c>
      <c r="D451" s="4">
        <v>3772258.5</v>
      </c>
      <c r="E451" s="3"/>
      <c r="F451" s="3"/>
      <c r="G451" s="3"/>
    </row>
    <row r="452" spans="1:7" ht="14.25" customHeight="1" x14ac:dyDescent="0.45">
      <c r="A452" s="8">
        <v>43980</v>
      </c>
      <c r="B452" s="2" t="s">
        <v>17</v>
      </c>
      <c r="C452" s="2">
        <v>44569.5</v>
      </c>
      <c r="D452" s="2">
        <v>4108596</v>
      </c>
      <c r="E452" s="3"/>
      <c r="F452" s="3"/>
      <c r="G452" s="3"/>
    </row>
    <row r="453" spans="1:7" ht="14.25" customHeight="1" x14ac:dyDescent="0.45">
      <c r="A453" s="9">
        <v>43978</v>
      </c>
      <c r="B453" s="4" t="s">
        <v>18</v>
      </c>
      <c r="C453" s="4">
        <v>18069</v>
      </c>
      <c r="D453" s="4">
        <v>1603084.5</v>
      </c>
      <c r="E453" s="3"/>
      <c r="F453" s="3"/>
      <c r="G453" s="3"/>
    </row>
    <row r="454" spans="1:7" ht="14.25" customHeight="1" x14ac:dyDescent="0.45">
      <c r="A454" s="8">
        <v>43973</v>
      </c>
      <c r="B454" s="2" t="s">
        <v>18</v>
      </c>
      <c r="C454" s="2">
        <v>21483</v>
      </c>
      <c r="D454" s="2">
        <v>1774329</v>
      </c>
      <c r="E454" s="3"/>
      <c r="F454" s="3"/>
      <c r="G454" s="3"/>
    </row>
    <row r="455" spans="1:7" ht="14.25" customHeight="1" x14ac:dyDescent="0.45">
      <c r="A455" s="9">
        <v>43983</v>
      </c>
      <c r="B455" s="4" t="s">
        <v>18</v>
      </c>
      <c r="C455" s="4">
        <v>16687.5</v>
      </c>
      <c r="D455" s="4">
        <v>1526608.5</v>
      </c>
      <c r="E455" s="3"/>
      <c r="F455" s="3"/>
      <c r="G455" s="3"/>
    </row>
    <row r="456" spans="1:7" ht="14.25" customHeight="1" x14ac:dyDescent="0.45">
      <c r="A456" s="8">
        <v>43962</v>
      </c>
      <c r="B456" s="2" t="s">
        <v>18</v>
      </c>
      <c r="C456" s="2">
        <v>12238.5</v>
      </c>
      <c r="D456" s="2">
        <v>1096002</v>
      </c>
      <c r="E456" s="3"/>
      <c r="F456" s="3"/>
      <c r="G456" s="3"/>
    </row>
    <row r="457" spans="1:7" ht="14.25" customHeight="1" x14ac:dyDescent="0.45">
      <c r="A457" s="9">
        <v>43969</v>
      </c>
      <c r="B457" s="4" t="s">
        <v>18</v>
      </c>
      <c r="C457" s="4">
        <v>14290.5</v>
      </c>
      <c r="D457" s="4">
        <v>1246162.5</v>
      </c>
      <c r="E457" s="3"/>
      <c r="F457" s="3"/>
      <c r="G457" s="3"/>
    </row>
    <row r="458" spans="1:7" ht="14.25" customHeight="1" x14ac:dyDescent="0.45">
      <c r="A458" s="8">
        <v>43965</v>
      </c>
      <c r="B458" s="2" t="s">
        <v>18</v>
      </c>
      <c r="C458" s="2">
        <v>14385</v>
      </c>
      <c r="D458" s="2">
        <v>1223491.5</v>
      </c>
      <c r="E458" s="3"/>
      <c r="F458" s="3"/>
      <c r="G458" s="3"/>
    </row>
    <row r="459" spans="1:7" ht="14.25" customHeight="1" x14ac:dyDescent="0.45">
      <c r="A459" s="9">
        <v>43966</v>
      </c>
      <c r="B459" s="4" t="s">
        <v>18</v>
      </c>
      <c r="C459" s="4">
        <v>16498.5</v>
      </c>
      <c r="D459" s="4">
        <v>1370482.5</v>
      </c>
      <c r="E459" s="3"/>
      <c r="F459" s="3"/>
      <c r="G459" s="3"/>
    </row>
    <row r="460" spans="1:7" ht="14.25" customHeight="1" x14ac:dyDescent="0.45">
      <c r="A460" s="8">
        <v>43978</v>
      </c>
      <c r="B460" s="2" t="s">
        <v>19</v>
      </c>
      <c r="C460" s="2">
        <v>13203</v>
      </c>
      <c r="D460" s="2">
        <v>1211457</v>
      </c>
      <c r="E460" s="3"/>
      <c r="F460" s="3"/>
      <c r="G460" s="3"/>
    </row>
    <row r="461" spans="1:7" ht="14.25" customHeight="1" x14ac:dyDescent="0.45">
      <c r="A461" s="9">
        <v>43973</v>
      </c>
      <c r="B461" s="4" t="s">
        <v>19</v>
      </c>
      <c r="C461" s="4">
        <v>15802.5</v>
      </c>
      <c r="D461" s="4">
        <v>1411909.5</v>
      </c>
      <c r="E461" s="3"/>
      <c r="F461" s="3"/>
      <c r="G461" s="3"/>
    </row>
    <row r="462" spans="1:7" ht="14.25" customHeight="1" x14ac:dyDescent="0.45">
      <c r="A462" s="8">
        <v>43983</v>
      </c>
      <c r="B462" s="2" t="s">
        <v>19</v>
      </c>
      <c r="C462" s="2">
        <v>16476</v>
      </c>
      <c r="D462" s="2">
        <v>1565632.5</v>
      </c>
      <c r="E462" s="3"/>
      <c r="F462" s="3"/>
      <c r="G462" s="3"/>
    </row>
    <row r="463" spans="1:7" ht="14.25" customHeight="1" x14ac:dyDescent="0.45">
      <c r="A463" s="9">
        <v>43962</v>
      </c>
      <c r="B463" s="4" t="s">
        <v>19</v>
      </c>
      <c r="C463" s="4">
        <v>12654</v>
      </c>
      <c r="D463" s="4">
        <v>1081158</v>
      </c>
      <c r="E463" s="3"/>
      <c r="F463" s="3"/>
      <c r="G463" s="3"/>
    </row>
    <row r="464" spans="1:7" ht="14.25" customHeight="1" x14ac:dyDescent="0.45">
      <c r="A464" s="8">
        <v>43980</v>
      </c>
      <c r="B464" s="2" t="s">
        <v>18</v>
      </c>
      <c r="C464" s="2">
        <v>19647</v>
      </c>
      <c r="D464" s="2">
        <v>1764669</v>
      </c>
      <c r="E464" s="3"/>
      <c r="F464" s="3"/>
      <c r="G464" s="3"/>
    </row>
    <row r="465" spans="1:7" ht="14.25" customHeight="1" x14ac:dyDescent="0.45">
      <c r="A465" s="9">
        <v>43969</v>
      </c>
      <c r="B465" s="4" t="s">
        <v>19</v>
      </c>
      <c r="C465" s="4">
        <v>12450</v>
      </c>
      <c r="D465" s="4">
        <v>1115146.5</v>
      </c>
      <c r="E465" s="3"/>
      <c r="F465" s="3"/>
      <c r="G465" s="3"/>
    </row>
    <row r="466" spans="1:7" ht="14.25" customHeight="1" x14ac:dyDescent="0.45">
      <c r="A466" s="8">
        <v>43965</v>
      </c>
      <c r="B466" s="2" t="s">
        <v>19</v>
      </c>
      <c r="C466" s="2">
        <v>11161.5</v>
      </c>
      <c r="D466" s="2">
        <v>963502.5</v>
      </c>
      <c r="E466" s="3"/>
      <c r="F466" s="3"/>
      <c r="G466" s="3"/>
    </row>
    <row r="467" spans="1:7" ht="14.25" customHeight="1" x14ac:dyDescent="0.45">
      <c r="A467" s="9">
        <v>43966</v>
      </c>
      <c r="B467" s="4" t="s">
        <v>19</v>
      </c>
      <c r="C467" s="4">
        <v>12229.5</v>
      </c>
      <c r="D467" s="4">
        <v>1122730.5</v>
      </c>
      <c r="E467" s="3"/>
      <c r="F467" s="3"/>
      <c r="G467" s="3"/>
    </row>
    <row r="468" spans="1:7" ht="14.25" customHeight="1" x14ac:dyDescent="0.45">
      <c r="A468" s="8">
        <v>43978</v>
      </c>
      <c r="B468" s="2" t="s">
        <v>20</v>
      </c>
      <c r="C468" s="2">
        <v>28050</v>
      </c>
      <c r="D468" s="2">
        <v>2458555.5</v>
      </c>
      <c r="E468" s="3"/>
      <c r="F468" s="3"/>
      <c r="G468" s="3"/>
    </row>
    <row r="469" spans="1:7" ht="14.25" customHeight="1" x14ac:dyDescent="0.45">
      <c r="A469" s="9">
        <v>43973</v>
      </c>
      <c r="B469" s="4" t="s">
        <v>20</v>
      </c>
      <c r="C469" s="4">
        <v>30781.5</v>
      </c>
      <c r="D469" s="4">
        <v>2540715</v>
      </c>
      <c r="E469" s="3"/>
      <c r="F469" s="3"/>
      <c r="G469" s="3"/>
    </row>
    <row r="470" spans="1:7" ht="14.25" customHeight="1" x14ac:dyDescent="0.45">
      <c r="A470" s="8">
        <v>43983</v>
      </c>
      <c r="B470" s="2" t="s">
        <v>20</v>
      </c>
      <c r="C470" s="2">
        <v>27960</v>
      </c>
      <c r="D470" s="2">
        <v>2538967.5</v>
      </c>
      <c r="E470" s="3"/>
      <c r="F470" s="3"/>
      <c r="G470" s="3"/>
    </row>
    <row r="471" spans="1:7" ht="14.25" customHeight="1" x14ac:dyDescent="0.45">
      <c r="A471" s="9">
        <v>43962</v>
      </c>
      <c r="B471" s="4" t="s">
        <v>20</v>
      </c>
      <c r="C471" s="4">
        <v>23629.5</v>
      </c>
      <c r="D471" s="4">
        <v>2164365</v>
      </c>
      <c r="E471" s="3"/>
      <c r="F471" s="3"/>
      <c r="G471" s="3"/>
    </row>
    <row r="472" spans="1:7" ht="14.25" customHeight="1" x14ac:dyDescent="0.45">
      <c r="A472" s="8">
        <v>43980</v>
      </c>
      <c r="B472" s="2" t="s">
        <v>19</v>
      </c>
      <c r="C472" s="2">
        <v>17052</v>
      </c>
      <c r="D472" s="2">
        <v>1549020</v>
      </c>
      <c r="E472" s="3"/>
      <c r="F472" s="3"/>
      <c r="G472" s="3"/>
    </row>
    <row r="473" spans="1:7" ht="14.25" customHeight="1" x14ac:dyDescent="0.45">
      <c r="A473" s="9">
        <v>43969</v>
      </c>
      <c r="B473" s="4" t="s">
        <v>20</v>
      </c>
      <c r="C473" s="4">
        <v>27181.5</v>
      </c>
      <c r="D473" s="4">
        <v>2324490</v>
      </c>
      <c r="E473" s="3"/>
      <c r="F473" s="3"/>
      <c r="G473" s="3"/>
    </row>
    <row r="474" spans="1:7" ht="14.25" customHeight="1" x14ac:dyDescent="0.45">
      <c r="A474" s="8">
        <v>43965</v>
      </c>
      <c r="B474" s="2" t="s">
        <v>20</v>
      </c>
      <c r="C474" s="2">
        <v>25656</v>
      </c>
      <c r="D474" s="2">
        <v>2225341.5</v>
      </c>
      <c r="E474" s="3"/>
      <c r="F474" s="3"/>
      <c r="G474" s="3"/>
    </row>
    <row r="475" spans="1:7" ht="14.25" customHeight="1" x14ac:dyDescent="0.45">
      <c r="A475" s="9">
        <v>43966</v>
      </c>
      <c r="B475" s="4" t="s">
        <v>20</v>
      </c>
      <c r="C475" s="4">
        <v>29283</v>
      </c>
      <c r="D475" s="4">
        <v>2477487</v>
      </c>
      <c r="E475" s="3"/>
      <c r="F475" s="3"/>
      <c r="G475" s="3"/>
    </row>
    <row r="476" spans="1:7" ht="14.25" customHeight="1" x14ac:dyDescent="0.45">
      <c r="A476" s="8">
        <v>43980</v>
      </c>
      <c r="B476" s="2" t="s">
        <v>20</v>
      </c>
      <c r="C476" s="2">
        <v>32782.5</v>
      </c>
      <c r="D476" s="2">
        <v>2854741.5</v>
      </c>
      <c r="E476" s="3"/>
      <c r="F476" s="3"/>
      <c r="G476" s="3"/>
    </row>
    <row r="477" spans="1:7" ht="14.25" customHeight="1" x14ac:dyDescent="0.45">
      <c r="A477" s="9">
        <v>43978</v>
      </c>
      <c r="B477" s="4" t="s">
        <v>21</v>
      </c>
      <c r="C477" s="4">
        <v>215592</v>
      </c>
      <c r="D477" s="4">
        <v>22342300.5</v>
      </c>
      <c r="E477" s="3"/>
      <c r="F477" s="3"/>
      <c r="G477" s="3"/>
    </row>
    <row r="478" spans="1:7" ht="14.25" customHeight="1" x14ac:dyDescent="0.45">
      <c r="A478" s="8">
        <v>43973</v>
      </c>
      <c r="B478" s="2" t="s">
        <v>21</v>
      </c>
      <c r="C478" s="2">
        <v>228334.5</v>
      </c>
      <c r="D478" s="2">
        <v>22380772.5</v>
      </c>
      <c r="E478" s="3"/>
      <c r="F478" s="3"/>
      <c r="G478" s="3"/>
    </row>
    <row r="479" spans="1:7" ht="14.25" customHeight="1" x14ac:dyDescent="0.45">
      <c r="A479" s="9">
        <v>43983</v>
      </c>
      <c r="B479" s="4" t="s">
        <v>21</v>
      </c>
      <c r="C479" s="4">
        <v>188776.5</v>
      </c>
      <c r="D479" s="4">
        <v>19465372.5</v>
      </c>
      <c r="E479" s="3"/>
      <c r="F479" s="3"/>
      <c r="G479" s="3"/>
    </row>
    <row r="480" spans="1:7" ht="14.25" customHeight="1" x14ac:dyDescent="0.45">
      <c r="A480" s="8">
        <v>43962</v>
      </c>
      <c r="B480" s="2" t="s">
        <v>21</v>
      </c>
      <c r="C480" s="2">
        <v>175293</v>
      </c>
      <c r="D480" s="2">
        <v>17919144</v>
      </c>
      <c r="E480" s="3"/>
      <c r="F480" s="3"/>
      <c r="G480" s="3"/>
    </row>
    <row r="481" spans="1:7" ht="14.25" customHeight="1" x14ac:dyDescent="0.45">
      <c r="A481" s="9">
        <v>43969</v>
      </c>
      <c r="B481" s="4" t="s">
        <v>21</v>
      </c>
      <c r="C481" s="4">
        <v>201999</v>
      </c>
      <c r="D481" s="4">
        <v>20422435.5</v>
      </c>
      <c r="E481" s="3"/>
      <c r="F481" s="3"/>
      <c r="G481" s="3"/>
    </row>
    <row r="482" spans="1:7" ht="14.25" customHeight="1" x14ac:dyDescent="0.45">
      <c r="A482" s="8">
        <v>43965</v>
      </c>
      <c r="B482" s="2" t="s">
        <v>21</v>
      </c>
      <c r="C482" s="2">
        <v>197946</v>
      </c>
      <c r="D482" s="2">
        <v>19942435.5</v>
      </c>
      <c r="E482" s="3"/>
      <c r="F482" s="3"/>
      <c r="G482" s="3"/>
    </row>
    <row r="483" spans="1:7" ht="14.25" customHeight="1" x14ac:dyDescent="0.45">
      <c r="A483" s="9">
        <v>43966</v>
      </c>
      <c r="B483" s="4" t="s">
        <v>21</v>
      </c>
      <c r="C483" s="4">
        <v>230896.5</v>
      </c>
      <c r="D483" s="4">
        <v>23085222</v>
      </c>
      <c r="E483" s="3"/>
      <c r="F483" s="3"/>
      <c r="G483" s="3"/>
    </row>
    <row r="484" spans="1:7" ht="14.25" customHeight="1" x14ac:dyDescent="0.45">
      <c r="A484" s="8">
        <v>43978</v>
      </c>
      <c r="B484" s="2" t="s">
        <v>22</v>
      </c>
      <c r="C484" s="2">
        <v>203532</v>
      </c>
      <c r="D484" s="2">
        <v>20953324.5</v>
      </c>
      <c r="E484" s="3"/>
      <c r="F484" s="3"/>
      <c r="G484" s="3"/>
    </row>
    <row r="485" spans="1:7" ht="14.25" customHeight="1" x14ac:dyDescent="0.45">
      <c r="A485" s="9">
        <v>43973</v>
      </c>
      <c r="B485" s="4" t="s">
        <v>22</v>
      </c>
      <c r="C485" s="4">
        <v>214428</v>
      </c>
      <c r="D485" s="4">
        <v>20812585.5</v>
      </c>
      <c r="E485" s="3"/>
      <c r="F485" s="3"/>
      <c r="G485" s="3"/>
    </row>
    <row r="486" spans="1:7" ht="14.25" customHeight="1" x14ac:dyDescent="0.45">
      <c r="A486" s="8">
        <v>43983</v>
      </c>
      <c r="B486" s="2" t="s">
        <v>22</v>
      </c>
      <c r="C486" s="2">
        <v>183228</v>
      </c>
      <c r="D486" s="2">
        <v>18914194.5</v>
      </c>
      <c r="E486" s="3"/>
      <c r="F486" s="3"/>
      <c r="G486" s="3"/>
    </row>
    <row r="487" spans="1:7" ht="14.25" customHeight="1" x14ac:dyDescent="0.45">
      <c r="A487" s="9">
        <v>43962</v>
      </c>
      <c r="B487" s="4" t="s">
        <v>22</v>
      </c>
      <c r="C487" s="4">
        <v>166948.5</v>
      </c>
      <c r="D487" s="4">
        <v>16971231</v>
      </c>
      <c r="E487" s="3"/>
      <c r="F487" s="3"/>
      <c r="G487" s="3"/>
    </row>
    <row r="488" spans="1:7" ht="14.25" customHeight="1" x14ac:dyDescent="0.45">
      <c r="A488" s="8">
        <v>43980</v>
      </c>
      <c r="B488" s="2" t="s">
        <v>21</v>
      </c>
      <c r="C488" s="2">
        <v>232102.5</v>
      </c>
      <c r="D488" s="2">
        <v>23120443.5</v>
      </c>
      <c r="E488" s="3"/>
      <c r="F488" s="3"/>
      <c r="G488" s="3"/>
    </row>
    <row r="489" spans="1:7" ht="14.25" customHeight="1" x14ac:dyDescent="0.45">
      <c r="A489" s="9">
        <v>43969</v>
      </c>
      <c r="B489" s="4" t="s">
        <v>22</v>
      </c>
      <c r="C489" s="4">
        <v>196560</v>
      </c>
      <c r="D489" s="4">
        <v>19855122</v>
      </c>
      <c r="E489" s="3"/>
      <c r="F489" s="3"/>
      <c r="G489" s="3"/>
    </row>
    <row r="490" spans="1:7" ht="14.25" customHeight="1" x14ac:dyDescent="0.45">
      <c r="A490" s="8">
        <v>43965</v>
      </c>
      <c r="B490" s="2" t="s">
        <v>22</v>
      </c>
      <c r="C490" s="2">
        <v>186496.5</v>
      </c>
      <c r="D490" s="2">
        <v>18640998</v>
      </c>
      <c r="E490" s="3"/>
      <c r="F490" s="3"/>
      <c r="G490" s="3"/>
    </row>
    <row r="491" spans="1:7" ht="14.25" customHeight="1" x14ac:dyDescent="0.45">
      <c r="A491" s="9">
        <v>43966</v>
      </c>
      <c r="B491" s="4" t="s">
        <v>22</v>
      </c>
      <c r="C491" s="4">
        <v>219772.5</v>
      </c>
      <c r="D491" s="4">
        <v>21895294.5</v>
      </c>
      <c r="E491" s="3"/>
      <c r="F491" s="3"/>
      <c r="G491" s="3"/>
    </row>
    <row r="492" spans="1:7" ht="14.25" customHeight="1" x14ac:dyDescent="0.45">
      <c r="A492" s="8">
        <v>43980</v>
      </c>
      <c r="B492" s="2" t="s">
        <v>22</v>
      </c>
      <c r="C492" s="2">
        <v>226476</v>
      </c>
      <c r="D492" s="2">
        <v>22416151.5</v>
      </c>
      <c r="E492" s="3"/>
      <c r="F492" s="3"/>
      <c r="G492" s="3"/>
    </row>
    <row r="493" spans="1:7" ht="14.25" customHeight="1" x14ac:dyDescent="0.45">
      <c r="A493" s="9">
        <v>43978</v>
      </c>
      <c r="B493" s="4" t="s">
        <v>24</v>
      </c>
      <c r="C493" s="4">
        <v>8362.5</v>
      </c>
      <c r="D493" s="4">
        <v>687684</v>
      </c>
      <c r="E493" s="3"/>
      <c r="F493" s="3"/>
      <c r="G493" s="3"/>
    </row>
    <row r="494" spans="1:7" ht="14.25" customHeight="1" x14ac:dyDescent="0.45">
      <c r="A494" s="8">
        <v>43973</v>
      </c>
      <c r="B494" s="2" t="s">
        <v>23</v>
      </c>
      <c r="C494" s="2">
        <v>17008.5</v>
      </c>
      <c r="D494" s="2">
        <v>1398771</v>
      </c>
      <c r="E494" s="3"/>
      <c r="F494" s="3"/>
      <c r="G494" s="3"/>
    </row>
    <row r="495" spans="1:7" ht="14.25" customHeight="1" x14ac:dyDescent="0.45">
      <c r="A495" s="9">
        <v>43983</v>
      </c>
      <c r="B495" s="4" t="s">
        <v>25</v>
      </c>
      <c r="C495" s="4">
        <v>5166</v>
      </c>
      <c r="D495" s="4">
        <v>389013</v>
      </c>
      <c r="E495" s="3"/>
      <c r="F495" s="3"/>
      <c r="G495" s="3"/>
    </row>
    <row r="496" spans="1:7" ht="14.25" customHeight="1" x14ac:dyDescent="0.45">
      <c r="A496" s="8">
        <v>43962</v>
      </c>
      <c r="B496" s="2" t="s">
        <v>23</v>
      </c>
      <c r="C496" s="2">
        <v>10941</v>
      </c>
      <c r="D496" s="2">
        <v>880356</v>
      </c>
      <c r="E496" s="3"/>
      <c r="F496" s="3"/>
      <c r="G496" s="3"/>
    </row>
    <row r="497" spans="1:7" ht="14.25" customHeight="1" x14ac:dyDescent="0.45">
      <c r="A497" s="9">
        <v>43969</v>
      </c>
      <c r="B497" s="4" t="s">
        <v>23</v>
      </c>
      <c r="C497" s="4">
        <v>14497.5</v>
      </c>
      <c r="D497" s="4">
        <v>1230711</v>
      </c>
      <c r="E497" s="3"/>
      <c r="F497" s="3"/>
      <c r="G497" s="3"/>
    </row>
    <row r="498" spans="1:7" ht="14.25" customHeight="1" x14ac:dyDescent="0.45">
      <c r="A498" s="8">
        <v>43965</v>
      </c>
      <c r="B498" s="2" t="s">
        <v>23</v>
      </c>
      <c r="C498" s="2">
        <v>13810.5</v>
      </c>
      <c r="D498" s="2">
        <v>1131676.5</v>
      </c>
      <c r="E498" s="3"/>
      <c r="F498" s="3"/>
      <c r="G498" s="3"/>
    </row>
    <row r="499" spans="1:7" ht="14.25" customHeight="1" x14ac:dyDescent="0.45">
      <c r="A499" s="9">
        <v>43966</v>
      </c>
      <c r="B499" s="4" t="s">
        <v>23</v>
      </c>
      <c r="C499" s="4">
        <v>13752</v>
      </c>
      <c r="D499" s="4">
        <v>1091040</v>
      </c>
      <c r="E499" s="3"/>
      <c r="F499" s="3"/>
      <c r="G499" s="3"/>
    </row>
    <row r="500" spans="1:7" ht="14.25" customHeight="1" x14ac:dyDescent="0.45">
      <c r="A500" s="8">
        <v>43978</v>
      </c>
      <c r="B500" s="2" t="s">
        <v>23</v>
      </c>
      <c r="C500" s="2">
        <v>15276</v>
      </c>
      <c r="D500" s="2">
        <v>1350199.5</v>
      </c>
      <c r="E500" s="3"/>
      <c r="F500" s="3"/>
      <c r="G500" s="3"/>
    </row>
    <row r="501" spans="1:7" ht="14.25" customHeight="1" x14ac:dyDescent="0.45">
      <c r="A501" s="9">
        <v>43983</v>
      </c>
      <c r="B501" s="4" t="s">
        <v>26</v>
      </c>
      <c r="C501" s="4">
        <v>4408.5</v>
      </c>
      <c r="D501" s="4">
        <v>410892</v>
      </c>
      <c r="E501" s="3"/>
      <c r="F501" s="3"/>
      <c r="G501" s="3"/>
    </row>
    <row r="502" spans="1:7" ht="14.25" customHeight="1" x14ac:dyDescent="0.45">
      <c r="A502" s="8">
        <v>43980</v>
      </c>
      <c r="B502" s="2" t="s">
        <v>24</v>
      </c>
      <c r="C502" s="2">
        <v>9927</v>
      </c>
      <c r="D502" s="2">
        <v>850840.5</v>
      </c>
      <c r="E502" s="3"/>
      <c r="F502" s="3"/>
      <c r="G502" s="3"/>
    </row>
    <row r="503" spans="1:7" ht="14.25" customHeight="1" x14ac:dyDescent="0.45">
      <c r="A503" s="9">
        <v>43983</v>
      </c>
      <c r="B503" s="4" t="s">
        <v>24</v>
      </c>
      <c r="C503" s="4">
        <v>9474</v>
      </c>
      <c r="D503" s="4">
        <v>802447.5</v>
      </c>
      <c r="E503" s="3"/>
      <c r="F503" s="3"/>
      <c r="G503" s="3"/>
    </row>
    <row r="504" spans="1:7" ht="14.25" customHeight="1" x14ac:dyDescent="0.45">
      <c r="A504" s="8">
        <v>43980</v>
      </c>
      <c r="B504" s="2" t="s">
        <v>23</v>
      </c>
      <c r="C504" s="2">
        <v>16878</v>
      </c>
      <c r="D504" s="2">
        <v>1438255.5</v>
      </c>
      <c r="E504" s="3"/>
      <c r="F504" s="3"/>
      <c r="G504" s="3"/>
    </row>
    <row r="505" spans="1:7" ht="14.25" customHeight="1" x14ac:dyDescent="0.45">
      <c r="A505" s="10">
        <v>43983</v>
      </c>
      <c r="B505" s="5" t="s">
        <v>23</v>
      </c>
      <c r="C505" s="5">
        <v>14238</v>
      </c>
      <c r="D505" s="5">
        <v>1293219</v>
      </c>
      <c r="E505" s="3"/>
      <c r="F505" s="3"/>
      <c r="G505" s="3"/>
    </row>
    <row r="506" spans="1:7" ht="14.25" customHeight="1" x14ac:dyDescent="0.45"/>
    <row r="507" spans="1:7" ht="14.25" customHeight="1" x14ac:dyDescent="0.45"/>
    <row r="508" spans="1:7" ht="14.25" customHeight="1" x14ac:dyDescent="0.45"/>
    <row r="509" spans="1:7" ht="14.25" customHeight="1" x14ac:dyDescent="0.45"/>
    <row r="510" spans="1:7" ht="14.25" customHeight="1" x14ac:dyDescent="0.45"/>
    <row r="511" spans="1:7" ht="14.25" customHeight="1" x14ac:dyDescent="0.45"/>
    <row r="512" spans="1:7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sqref="A1:E505"/>
    </sheetView>
  </sheetViews>
  <sheetFormatPr defaultColWidth="14.3984375" defaultRowHeight="15" customHeight="1" x14ac:dyDescent="0.45"/>
  <cols>
    <col min="1" max="1" width="10.3984375" customWidth="1"/>
    <col min="2" max="2" width="22.86328125" customWidth="1"/>
    <col min="3" max="3" width="22.73046875" customWidth="1"/>
    <col min="4" max="4" width="22.1328125" customWidth="1"/>
    <col min="5" max="5" width="25.3984375" customWidth="1"/>
    <col min="6" max="26" width="8.73046875" customWidth="1"/>
  </cols>
  <sheetData>
    <row r="1" spans="1:5" ht="14.25" customHeight="1" x14ac:dyDescent="0.45">
      <c r="A1" s="7" t="s">
        <v>0</v>
      </c>
      <c r="B1" s="7" t="s">
        <v>1</v>
      </c>
      <c r="C1" s="7" t="s">
        <v>4</v>
      </c>
      <c r="D1" s="7" t="s">
        <v>5</v>
      </c>
      <c r="E1" s="7" t="s">
        <v>6</v>
      </c>
    </row>
    <row r="2" spans="1:5" ht="14.25" customHeight="1" x14ac:dyDescent="0.45">
      <c r="A2" s="6">
        <v>43949</v>
      </c>
      <c r="B2" s="3" t="s">
        <v>16</v>
      </c>
      <c r="C2" s="3">
        <v>36</v>
      </c>
      <c r="D2" s="3">
        <v>4923</v>
      </c>
      <c r="E2" s="3">
        <v>4560</v>
      </c>
    </row>
    <row r="3" spans="1:5" ht="14.25" customHeight="1" x14ac:dyDescent="0.45">
      <c r="A3" s="6">
        <v>43949</v>
      </c>
      <c r="B3" s="3" t="s">
        <v>11</v>
      </c>
      <c r="C3" s="3">
        <v>31</v>
      </c>
      <c r="D3" s="3">
        <v>5465</v>
      </c>
      <c r="E3" s="3">
        <v>5096</v>
      </c>
    </row>
    <row r="4" spans="1:5" ht="14.25" customHeight="1" x14ac:dyDescent="0.45">
      <c r="A4" s="6">
        <v>43949</v>
      </c>
      <c r="B4" s="3" t="s">
        <v>17</v>
      </c>
      <c r="C4" s="3">
        <v>19</v>
      </c>
      <c r="D4" s="3">
        <v>1846</v>
      </c>
      <c r="E4" s="3">
        <v>1681</v>
      </c>
    </row>
    <row r="5" spans="1:5" ht="14.25" customHeight="1" x14ac:dyDescent="0.45">
      <c r="A5" s="6">
        <v>43949</v>
      </c>
      <c r="B5" s="3" t="s">
        <v>10</v>
      </c>
      <c r="C5" s="3">
        <v>18</v>
      </c>
      <c r="D5" s="3">
        <v>1539</v>
      </c>
      <c r="E5" s="3">
        <v>1404</v>
      </c>
    </row>
    <row r="6" spans="1:5" ht="14.25" customHeight="1" x14ac:dyDescent="0.45">
      <c r="A6" s="6">
        <v>43949</v>
      </c>
      <c r="B6" s="3" t="s">
        <v>20</v>
      </c>
      <c r="C6" s="3">
        <v>18</v>
      </c>
      <c r="D6" s="3">
        <v>1505</v>
      </c>
      <c r="E6" s="3">
        <v>1368</v>
      </c>
    </row>
    <row r="7" spans="1:5" ht="14.25" customHeight="1" x14ac:dyDescent="0.45">
      <c r="A7" s="6">
        <v>43949</v>
      </c>
      <c r="B7" s="3" t="s">
        <v>22</v>
      </c>
      <c r="C7" s="3">
        <v>54</v>
      </c>
      <c r="D7" s="3">
        <v>12306</v>
      </c>
      <c r="E7" s="3">
        <v>11532</v>
      </c>
    </row>
    <row r="8" spans="1:5" ht="14.25" customHeight="1" x14ac:dyDescent="0.45">
      <c r="A8" s="6">
        <v>43949</v>
      </c>
      <c r="B8" s="3" t="s">
        <v>21</v>
      </c>
      <c r="C8" s="3">
        <v>59</v>
      </c>
      <c r="D8" s="3">
        <v>12943</v>
      </c>
      <c r="E8" s="3">
        <v>12072</v>
      </c>
    </row>
    <row r="9" spans="1:5" ht="14.25" customHeight="1" x14ac:dyDescent="0.45">
      <c r="A9" s="6">
        <v>43949</v>
      </c>
      <c r="B9" s="3" t="s">
        <v>13</v>
      </c>
      <c r="C9" s="3">
        <v>17</v>
      </c>
      <c r="D9" s="3">
        <v>1439</v>
      </c>
      <c r="E9" s="3">
        <v>1265</v>
      </c>
    </row>
    <row r="10" spans="1:5" ht="14.25" customHeight="1" x14ac:dyDescent="0.45">
      <c r="A10" s="6">
        <v>43949</v>
      </c>
      <c r="B10" s="3" t="s">
        <v>23</v>
      </c>
      <c r="C10" s="3">
        <v>15</v>
      </c>
      <c r="D10" s="3">
        <v>636</v>
      </c>
      <c r="E10" s="3">
        <v>547</v>
      </c>
    </row>
    <row r="11" spans="1:5" ht="14.25" customHeight="1" x14ac:dyDescent="0.45">
      <c r="A11" s="6">
        <v>43949</v>
      </c>
      <c r="B11" s="3" t="s">
        <v>18</v>
      </c>
      <c r="C11" s="3">
        <v>15</v>
      </c>
      <c r="D11" s="3">
        <v>780</v>
      </c>
      <c r="E11" s="3">
        <v>690</v>
      </c>
    </row>
    <row r="12" spans="1:5" ht="14.25" customHeight="1" x14ac:dyDescent="0.45">
      <c r="A12" s="6">
        <v>43949</v>
      </c>
      <c r="B12" s="3" t="s">
        <v>15</v>
      </c>
      <c r="C12" s="3">
        <v>125</v>
      </c>
      <c r="D12" s="3">
        <v>20914</v>
      </c>
      <c r="E12" s="3">
        <v>19479</v>
      </c>
    </row>
    <row r="13" spans="1:5" ht="14.25" customHeight="1" x14ac:dyDescent="0.45">
      <c r="A13" s="6">
        <v>43949</v>
      </c>
      <c r="B13" s="3" t="s">
        <v>14</v>
      </c>
      <c r="C13" s="3">
        <v>128</v>
      </c>
      <c r="D13" s="3">
        <v>16450</v>
      </c>
      <c r="E13" s="3">
        <v>15320</v>
      </c>
    </row>
    <row r="14" spans="1:5" ht="14.25" customHeight="1" x14ac:dyDescent="0.45">
      <c r="A14" s="6">
        <v>43949</v>
      </c>
      <c r="B14" s="3" t="s">
        <v>12</v>
      </c>
      <c r="C14" s="3">
        <v>10</v>
      </c>
      <c r="D14" s="3">
        <v>580</v>
      </c>
      <c r="E14" s="3">
        <v>506</v>
      </c>
    </row>
    <row r="15" spans="1:5" ht="14.25" customHeight="1" x14ac:dyDescent="0.45">
      <c r="A15" s="6">
        <v>43950</v>
      </c>
      <c r="B15" s="3" t="s">
        <v>16</v>
      </c>
      <c r="C15" s="3">
        <v>36</v>
      </c>
      <c r="D15" s="3">
        <v>4937</v>
      </c>
      <c r="E15" s="3">
        <v>4561</v>
      </c>
    </row>
    <row r="16" spans="1:5" ht="14.25" customHeight="1" x14ac:dyDescent="0.45">
      <c r="A16" s="6">
        <v>43950</v>
      </c>
      <c r="B16" s="3" t="s">
        <v>11</v>
      </c>
      <c r="C16" s="3">
        <v>31</v>
      </c>
      <c r="D16" s="3">
        <v>5378</v>
      </c>
      <c r="E16" s="3">
        <v>4985</v>
      </c>
    </row>
    <row r="17" spans="1:5" ht="14.25" customHeight="1" x14ac:dyDescent="0.45">
      <c r="A17" s="6">
        <v>43950</v>
      </c>
      <c r="B17" s="3" t="s">
        <v>17</v>
      </c>
      <c r="C17" s="3">
        <v>19</v>
      </c>
      <c r="D17" s="3">
        <v>1676</v>
      </c>
      <c r="E17" s="3">
        <v>1516</v>
      </c>
    </row>
    <row r="18" spans="1:5" ht="14.25" customHeight="1" x14ac:dyDescent="0.45">
      <c r="A18" s="6">
        <v>43950</v>
      </c>
      <c r="B18" s="3" t="s">
        <v>10</v>
      </c>
      <c r="C18" s="3">
        <v>18</v>
      </c>
      <c r="D18" s="3">
        <v>1684</v>
      </c>
      <c r="E18" s="3">
        <v>1528</v>
      </c>
    </row>
    <row r="19" spans="1:5" ht="14.25" customHeight="1" x14ac:dyDescent="0.45">
      <c r="A19" s="6">
        <v>43950</v>
      </c>
      <c r="B19" s="3" t="s">
        <v>20</v>
      </c>
      <c r="C19" s="3">
        <v>18</v>
      </c>
      <c r="D19" s="3">
        <v>1599</v>
      </c>
      <c r="E19" s="3">
        <v>1450</v>
      </c>
    </row>
    <row r="20" spans="1:5" ht="14.25" customHeight="1" x14ac:dyDescent="0.45">
      <c r="A20" s="6">
        <v>43950</v>
      </c>
      <c r="B20" s="3" t="s">
        <v>22</v>
      </c>
      <c r="C20" s="3">
        <v>54</v>
      </c>
      <c r="D20" s="3">
        <v>12747</v>
      </c>
      <c r="E20" s="3">
        <v>11884</v>
      </c>
    </row>
    <row r="21" spans="1:5" ht="14.25" customHeight="1" x14ac:dyDescent="0.45">
      <c r="A21" s="6">
        <v>43950</v>
      </c>
      <c r="B21" s="3" t="s">
        <v>21</v>
      </c>
      <c r="C21" s="3">
        <v>59</v>
      </c>
      <c r="D21" s="3">
        <v>13186</v>
      </c>
      <c r="E21" s="3">
        <v>12251</v>
      </c>
    </row>
    <row r="22" spans="1:5" ht="14.25" customHeight="1" x14ac:dyDescent="0.45">
      <c r="A22" s="6">
        <v>43950</v>
      </c>
      <c r="B22" s="3" t="s">
        <v>13</v>
      </c>
      <c r="C22" s="3">
        <v>18</v>
      </c>
      <c r="D22" s="3">
        <v>1534</v>
      </c>
      <c r="E22" s="3">
        <v>1369</v>
      </c>
    </row>
    <row r="23" spans="1:5" ht="14.25" customHeight="1" x14ac:dyDescent="0.45">
      <c r="A23" s="6">
        <v>43950</v>
      </c>
      <c r="B23" s="3" t="s">
        <v>23</v>
      </c>
      <c r="C23" s="3">
        <v>15</v>
      </c>
      <c r="D23" s="3">
        <v>659</v>
      </c>
      <c r="E23" s="3">
        <v>575</v>
      </c>
    </row>
    <row r="24" spans="1:5" ht="14.25" customHeight="1" x14ac:dyDescent="0.45">
      <c r="A24" s="6">
        <v>43950</v>
      </c>
      <c r="B24" s="3" t="s">
        <v>18</v>
      </c>
      <c r="C24" s="3">
        <v>15</v>
      </c>
      <c r="D24" s="3">
        <v>786</v>
      </c>
      <c r="E24" s="3">
        <v>695</v>
      </c>
    </row>
    <row r="25" spans="1:5" ht="14.25" customHeight="1" x14ac:dyDescent="0.45">
      <c r="A25" s="6">
        <v>43950</v>
      </c>
      <c r="B25" s="3" t="s">
        <v>15</v>
      </c>
      <c r="C25" s="3">
        <v>125</v>
      </c>
      <c r="D25" s="3">
        <v>21863</v>
      </c>
      <c r="E25" s="3">
        <v>20160</v>
      </c>
    </row>
    <row r="26" spans="1:5" ht="14.25" customHeight="1" x14ac:dyDescent="0.45">
      <c r="A26" s="6">
        <v>43950</v>
      </c>
      <c r="B26" s="3" t="s">
        <v>14</v>
      </c>
      <c r="C26" s="3">
        <v>128</v>
      </c>
      <c r="D26" s="3">
        <v>17368</v>
      </c>
      <c r="E26" s="3">
        <v>16077</v>
      </c>
    </row>
    <row r="27" spans="1:5" ht="14.25" customHeight="1" x14ac:dyDescent="0.45">
      <c r="A27" s="6">
        <v>43950</v>
      </c>
      <c r="B27" s="3" t="s">
        <v>12</v>
      </c>
      <c r="C27" s="3">
        <v>10</v>
      </c>
      <c r="D27" s="3">
        <v>502</v>
      </c>
      <c r="E27" s="3">
        <v>433</v>
      </c>
    </row>
    <row r="28" spans="1:5" ht="14.25" customHeight="1" x14ac:dyDescent="0.45">
      <c r="A28" s="6">
        <v>43951</v>
      </c>
      <c r="B28" s="3" t="s">
        <v>16</v>
      </c>
      <c r="C28" s="3">
        <v>36</v>
      </c>
      <c r="D28" s="3">
        <v>5143</v>
      </c>
      <c r="E28" s="3">
        <v>4715</v>
      </c>
    </row>
    <row r="29" spans="1:5" ht="14.25" customHeight="1" x14ac:dyDescent="0.45">
      <c r="A29" s="6">
        <v>43951</v>
      </c>
      <c r="B29" s="3" t="s">
        <v>11</v>
      </c>
      <c r="C29" s="3">
        <v>31</v>
      </c>
      <c r="D29" s="3">
        <v>5120</v>
      </c>
      <c r="E29" s="3">
        <v>4737</v>
      </c>
    </row>
    <row r="30" spans="1:5" ht="14.25" customHeight="1" x14ac:dyDescent="0.45">
      <c r="A30" s="6">
        <v>43951</v>
      </c>
      <c r="B30" s="3" t="s">
        <v>17</v>
      </c>
      <c r="C30" s="3">
        <v>20</v>
      </c>
      <c r="D30" s="3">
        <v>1756</v>
      </c>
      <c r="E30" s="3">
        <v>1586</v>
      </c>
    </row>
    <row r="31" spans="1:5" ht="14.25" customHeight="1" x14ac:dyDescent="0.45">
      <c r="A31" s="6">
        <v>43951</v>
      </c>
      <c r="B31" s="3" t="s">
        <v>10</v>
      </c>
      <c r="C31" s="3">
        <v>19</v>
      </c>
      <c r="D31" s="3">
        <v>1712</v>
      </c>
      <c r="E31" s="3">
        <v>1552</v>
      </c>
    </row>
    <row r="32" spans="1:5" ht="14.25" customHeight="1" x14ac:dyDescent="0.45">
      <c r="A32" s="6">
        <v>43951</v>
      </c>
      <c r="B32" s="3" t="s">
        <v>20</v>
      </c>
      <c r="C32" s="3">
        <v>19</v>
      </c>
      <c r="D32" s="3">
        <v>1662</v>
      </c>
      <c r="E32" s="3">
        <v>1506</v>
      </c>
    </row>
    <row r="33" spans="1:5" ht="14.25" customHeight="1" x14ac:dyDescent="0.45">
      <c r="A33" s="6">
        <v>43951</v>
      </c>
      <c r="B33" s="3" t="s">
        <v>22</v>
      </c>
      <c r="C33" s="3">
        <v>54</v>
      </c>
      <c r="D33" s="3">
        <v>12817</v>
      </c>
      <c r="E33" s="3">
        <v>11865</v>
      </c>
    </row>
    <row r="34" spans="1:5" ht="14.25" customHeight="1" x14ac:dyDescent="0.45">
      <c r="A34" s="6">
        <v>43951</v>
      </c>
      <c r="B34" s="3" t="s">
        <v>21</v>
      </c>
      <c r="C34" s="3">
        <v>59</v>
      </c>
      <c r="D34" s="3">
        <v>13251</v>
      </c>
      <c r="E34" s="3">
        <v>12255</v>
      </c>
    </row>
    <row r="35" spans="1:5" ht="14.25" customHeight="1" x14ac:dyDescent="0.45">
      <c r="A35" s="6">
        <v>43951</v>
      </c>
      <c r="B35" s="3" t="s">
        <v>13</v>
      </c>
      <c r="C35" s="3">
        <v>19</v>
      </c>
      <c r="D35" s="3">
        <v>1499</v>
      </c>
      <c r="E35" s="3">
        <v>1322</v>
      </c>
    </row>
    <row r="36" spans="1:5" ht="14.25" customHeight="1" x14ac:dyDescent="0.45">
      <c r="A36" s="6">
        <v>43951</v>
      </c>
      <c r="B36" s="3" t="s">
        <v>23</v>
      </c>
      <c r="C36" s="3">
        <v>15</v>
      </c>
      <c r="D36" s="3">
        <v>644</v>
      </c>
      <c r="E36" s="3">
        <v>550</v>
      </c>
    </row>
    <row r="37" spans="1:5" ht="14.25" customHeight="1" x14ac:dyDescent="0.45">
      <c r="A37" s="6">
        <v>43951</v>
      </c>
      <c r="B37" s="3" t="s">
        <v>18</v>
      </c>
      <c r="C37" s="3">
        <v>15</v>
      </c>
      <c r="D37" s="3">
        <v>791</v>
      </c>
      <c r="E37" s="3">
        <v>691</v>
      </c>
    </row>
    <row r="38" spans="1:5" ht="14.25" customHeight="1" x14ac:dyDescent="0.45">
      <c r="A38" s="6">
        <v>43951</v>
      </c>
      <c r="B38" s="3" t="s">
        <v>19</v>
      </c>
      <c r="C38" s="3">
        <v>15</v>
      </c>
      <c r="D38" s="3">
        <v>262</v>
      </c>
      <c r="E38" s="3">
        <v>195</v>
      </c>
    </row>
    <row r="39" spans="1:5" ht="14.25" customHeight="1" x14ac:dyDescent="0.45">
      <c r="A39" s="6">
        <v>43951</v>
      </c>
      <c r="B39" s="3" t="s">
        <v>15</v>
      </c>
      <c r="C39" s="3">
        <v>125</v>
      </c>
      <c r="D39" s="3">
        <v>22368</v>
      </c>
      <c r="E39" s="3">
        <v>20625</v>
      </c>
    </row>
    <row r="40" spans="1:5" ht="14.25" customHeight="1" x14ac:dyDescent="0.45">
      <c r="A40" s="6">
        <v>43951</v>
      </c>
      <c r="B40" s="3" t="s">
        <v>14</v>
      </c>
      <c r="C40" s="3">
        <v>129</v>
      </c>
      <c r="D40" s="3">
        <v>18042</v>
      </c>
      <c r="E40" s="3">
        <v>16631</v>
      </c>
    </row>
    <row r="41" spans="1:5" ht="14.25" customHeight="1" x14ac:dyDescent="0.45">
      <c r="A41" s="6">
        <v>43951</v>
      </c>
      <c r="B41" s="3" t="s">
        <v>12</v>
      </c>
      <c r="C41" s="3">
        <v>10</v>
      </c>
      <c r="D41" s="3">
        <v>448</v>
      </c>
      <c r="E41" s="3">
        <v>376</v>
      </c>
    </row>
    <row r="42" spans="1:5" ht="14.25" customHeight="1" x14ac:dyDescent="0.45">
      <c r="A42" s="6">
        <v>43952</v>
      </c>
      <c r="B42" s="3" t="s">
        <v>16</v>
      </c>
      <c r="C42" s="3">
        <v>36</v>
      </c>
      <c r="D42" s="3">
        <v>5457</v>
      </c>
      <c r="E42" s="3">
        <v>4916</v>
      </c>
    </row>
    <row r="43" spans="1:5" ht="14.25" customHeight="1" x14ac:dyDescent="0.45">
      <c r="A43" s="6">
        <v>43952</v>
      </c>
      <c r="B43" s="3" t="s">
        <v>11</v>
      </c>
      <c r="C43" s="3">
        <v>31</v>
      </c>
      <c r="D43" s="3">
        <v>6118</v>
      </c>
      <c r="E43" s="3">
        <v>5564</v>
      </c>
    </row>
    <row r="44" spans="1:5" ht="14.25" customHeight="1" x14ac:dyDescent="0.45">
      <c r="A44" s="6">
        <v>43952</v>
      </c>
      <c r="B44" s="3" t="s">
        <v>17</v>
      </c>
      <c r="C44" s="3">
        <v>20</v>
      </c>
      <c r="D44" s="3">
        <v>2468</v>
      </c>
      <c r="E44" s="3">
        <v>2221</v>
      </c>
    </row>
    <row r="45" spans="1:5" ht="14.25" customHeight="1" x14ac:dyDescent="0.45">
      <c r="A45" s="6">
        <v>43952</v>
      </c>
      <c r="B45" s="3" t="s">
        <v>10</v>
      </c>
      <c r="C45" s="3">
        <v>18</v>
      </c>
      <c r="D45" s="3">
        <v>1826</v>
      </c>
      <c r="E45" s="3">
        <v>1633</v>
      </c>
    </row>
    <row r="46" spans="1:5" ht="14.25" customHeight="1" x14ac:dyDescent="0.45">
      <c r="A46" s="6">
        <v>43952</v>
      </c>
      <c r="B46" s="3" t="s">
        <v>20</v>
      </c>
      <c r="C46" s="3">
        <v>19</v>
      </c>
      <c r="D46" s="3">
        <v>1987</v>
      </c>
      <c r="E46" s="3">
        <v>1791</v>
      </c>
    </row>
    <row r="47" spans="1:5" ht="14.25" customHeight="1" x14ac:dyDescent="0.45">
      <c r="A47" s="6">
        <v>43952</v>
      </c>
      <c r="B47" s="3" t="s">
        <v>22</v>
      </c>
      <c r="C47" s="3">
        <v>54</v>
      </c>
      <c r="D47" s="3">
        <v>14205</v>
      </c>
      <c r="E47" s="3">
        <v>13026</v>
      </c>
    </row>
    <row r="48" spans="1:5" ht="14.25" customHeight="1" x14ac:dyDescent="0.45">
      <c r="A48" s="6">
        <v>43952</v>
      </c>
      <c r="B48" s="3" t="s">
        <v>21</v>
      </c>
      <c r="C48" s="3">
        <v>59</v>
      </c>
      <c r="D48" s="3">
        <v>15222</v>
      </c>
      <c r="E48" s="3">
        <v>13873</v>
      </c>
    </row>
    <row r="49" spans="1:5" ht="14.25" customHeight="1" x14ac:dyDescent="0.45">
      <c r="A49" s="6">
        <v>43952</v>
      </c>
      <c r="B49" s="3" t="s">
        <v>13</v>
      </c>
      <c r="C49" s="3">
        <v>19</v>
      </c>
      <c r="D49" s="3">
        <v>1497</v>
      </c>
      <c r="E49" s="3">
        <v>1291</v>
      </c>
    </row>
    <row r="50" spans="1:5" ht="14.25" customHeight="1" x14ac:dyDescent="0.45">
      <c r="A50" s="6">
        <v>43952</v>
      </c>
      <c r="B50" s="3" t="s">
        <v>23</v>
      </c>
      <c r="C50" s="3">
        <v>15</v>
      </c>
      <c r="D50" s="3">
        <v>721</v>
      </c>
      <c r="E50" s="3">
        <v>625</v>
      </c>
    </row>
    <row r="51" spans="1:5" ht="14.25" customHeight="1" x14ac:dyDescent="0.45">
      <c r="A51" s="6">
        <v>43952</v>
      </c>
      <c r="B51" s="3" t="s">
        <v>18</v>
      </c>
      <c r="C51" s="3">
        <v>15</v>
      </c>
      <c r="D51" s="3">
        <v>996</v>
      </c>
      <c r="E51" s="3">
        <v>888</v>
      </c>
    </row>
    <row r="52" spans="1:5" ht="14.25" customHeight="1" x14ac:dyDescent="0.45">
      <c r="A52" s="6">
        <v>43952</v>
      </c>
      <c r="B52" s="3" t="s">
        <v>19</v>
      </c>
      <c r="C52" s="3">
        <v>15</v>
      </c>
      <c r="D52" s="3">
        <v>294</v>
      </c>
      <c r="E52" s="3">
        <v>225</v>
      </c>
    </row>
    <row r="53" spans="1:5" ht="14.25" customHeight="1" x14ac:dyDescent="0.45">
      <c r="A53" s="6">
        <v>43952</v>
      </c>
      <c r="B53" s="3" t="s">
        <v>15</v>
      </c>
      <c r="C53" s="3">
        <v>125</v>
      </c>
      <c r="D53" s="3">
        <v>20602</v>
      </c>
      <c r="E53" s="3">
        <v>18845</v>
      </c>
    </row>
    <row r="54" spans="1:5" ht="14.25" customHeight="1" x14ac:dyDescent="0.45">
      <c r="A54" s="6">
        <v>43952</v>
      </c>
      <c r="B54" s="3" t="s">
        <v>14</v>
      </c>
      <c r="C54" s="3">
        <v>129</v>
      </c>
      <c r="D54" s="3">
        <v>17002</v>
      </c>
      <c r="E54" s="3">
        <v>15570</v>
      </c>
    </row>
    <row r="55" spans="1:5" ht="14.25" customHeight="1" x14ac:dyDescent="0.45">
      <c r="A55" s="6">
        <v>43952</v>
      </c>
      <c r="B55" s="3" t="s">
        <v>12</v>
      </c>
      <c r="C55" s="3">
        <v>10</v>
      </c>
      <c r="D55" s="3">
        <v>554</v>
      </c>
      <c r="E55" s="3">
        <v>472</v>
      </c>
    </row>
    <row r="56" spans="1:5" ht="14.25" customHeight="1" x14ac:dyDescent="0.45">
      <c r="A56" s="6">
        <v>43953</v>
      </c>
      <c r="B56" s="3" t="s">
        <v>16</v>
      </c>
      <c r="C56" s="3">
        <v>36</v>
      </c>
      <c r="D56" s="3">
        <v>3442</v>
      </c>
      <c r="E56" s="3">
        <v>3147</v>
      </c>
    </row>
    <row r="57" spans="1:5" ht="14.25" customHeight="1" x14ac:dyDescent="0.45">
      <c r="A57" s="6">
        <v>43953</v>
      </c>
      <c r="B57" s="3" t="s">
        <v>11</v>
      </c>
      <c r="C57" s="3">
        <v>31</v>
      </c>
      <c r="D57" s="3">
        <v>4157</v>
      </c>
      <c r="E57" s="3">
        <v>3823</v>
      </c>
    </row>
    <row r="58" spans="1:5" ht="14.25" customHeight="1" x14ac:dyDescent="0.45">
      <c r="A58" s="6">
        <v>43953</v>
      </c>
      <c r="B58" s="3" t="s">
        <v>17</v>
      </c>
      <c r="C58" s="3">
        <v>20</v>
      </c>
      <c r="D58" s="3">
        <v>1613</v>
      </c>
      <c r="E58" s="3">
        <v>1457</v>
      </c>
    </row>
    <row r="59" spans="1:5" ht="14.25" customHeight="1" x14ac:dyDescent="0.45">
      <c r="A59" s="6">
        <v>43953</v>
      </c>
      <c r="B59" s="3" t="s">
        <v>10</v>
      </c>
      <c r="C59" s="3">
        <v>18</v>
      </c>
      <c r="D59" s="3">
        <v>1708</v>
      </c>
      <c r="E59" s="3">
        <v>1534</v>
      </c>
    </row>
    <row r="60" spans="1:5" ht="14.25" customHeight="1" x14ac:dyDescent="0.45">
      <c r="A60" s="6">
        <v>43953</v>
      </c>
      <c r="B60" s="3" t="s">
        <v>20</v>
      </c>
      <c r="C60" s="3">
        <v>19</v>
      </c>
      <c r="D60" s="3">
        <v>1206</v>
      </c>
      <c r="E60" s="3">
        <v>1080</v>
      </c>
    </row>
    <row r="61" spans="1:5" ht="14.25" customHeight="1" x14ac:dyDescent="0.45">
      <c r="A61" s="6">
        <v>43953</v>
      </c>
      <c r="B61" s="3" t="s">
        <v>22</v>
      </c>
      <c r="C61" s="3">
        <v>54</v>
      </c>
      <c r="D61" s="3">
        <v>11622</v>
      </c>
      <c r="E61" s="3">
        <v>10754</v>
      </c>
    </row>
    <row r="62" spans="1:5" ht="14.25" customHeight="1" x14ac:dyDescent="0.45">
      <c r="A62" s="6">
        <v>43953</v>
      </c>
      <c r="B62" s="3" t="s">
        <v>21</v>
      </c>
      <c r="C62" s="3">
        <v>59</v>
      </c>
      <c r="D62" s="3">
        <v>12429</v>
      </c>
      <c r="E62" s="3">
        <v>11477</v>
      </c>
    </row>
    <row r="63" spans="1:5" ht="14.25" customHeight="1" x14ac:dyDescent="0.45">
      <c r="A63" s="6">
        <v>43953</v>
      </c>
      <c r="B63" s="3" t="s">
        <v>13</v>
      </c>
      <c r="C63" s="3">
        <v>19</v>
      </c>
      <c r="D63" s="3">
        <v>1217</v>
      </c>
      <c r="E63" s="3">
        <v>1048</v>
      </c>
    </row>
    <row r="64" spans="1:5" ht="14.25" customHeight="1" x14ac:dyDescent="0.45">
      <c r="A64" s="6">
        <v>43953</v>
      </c>
      <c r="B64" s="3" t="s">
        <v>23</v>
      </c>
      <c r="C64" s="3">
        <v>15</v>
      </c>
      <c r="D64" s="3">
        <v>567</v>
      </c>
      <c r="E64" s="3">
        <v>493</v>
      </c>
    </row>
    <row r="65" spans="1:5" ht="14.25" customHeight="1" x14ac:dyDescent="0.45">
      <c r="A65" s="6">
        <v>43953</v>
      </c>
      <c r="B65" s="3" t="s">
        <v>18</v>
      </c>
      <c r="C65" s="3">
        <v>15</v>
      </c>
      <c r="D65" s="3">
        <v>751</v>
      </c>
      <c r="E65" s="3">
        <v>651</v>
      </c>
    </row>
    <row r="66" spans="1:5" ht="14.25" customHeight="1" x14ac:dyDescent="0.45">
      <c r="A66" s="6">
        <v>43953</v>
      </c>
      <c r="B66" s="3" t="s">
        <v>19</v>
      </c>
      <c r="C66" s="3">
        <v>15</v>
      </c>
      <c r="D66" s="3">
        <v>274</v>
      </c>
      <c r="E66" s="3">
        <v>203</v>
      </c>
    </row>
    <row r="67" spans="1:5" ht="14.25" customHeight="1" x14ac:dyDescent="0.45">
      <c r="A67" s="6">
        <v>43953</v>
      </c>
      <c r="B67" s="3" t="s">
        <v>15</v>
      </c>
      <c r="C67" s="3">
        <v>125</v>
      </c>
      <c r="D67" s="3">
        <v>16932</v>
      </c>
      <c r="E67" s="3">
        <v>15601</v>
      </c>
    </row>
    <row r="68" spans="1:5" ht="14.25" customHeight="1" x14ac:dyDescent="0.45">
      <c r="A68" s="6">
        <v>43953</v>
      </c>
      <c r="B68" s="3" t="s">
        <v>14</v>
      </c>
      <c r="C68" s="3">
        <v>129</v>
      </c>
      <c r="D68" s="3">
        <v>14009</v>
      </c>
      <c r="E68" s="3">
        <v>12920</v>
      </c>
    </row>
    <row r="69" spans="1:5" ht="14.25" customHeight="1" x14ac:dyDescent="0.45">
      <c r="A69" s="6">
        <v>43953</v>
      </c>
      <c r="B69" s="3" t="s">
        <v>12</v>
      </c>
      <c r="C69" s="3">
        <v>10</v>
      </c>
      <c r="D69" s="3">
        <v>416</v>
      </c>
      <c r="E69" s="3">
        <v>341</v>
      </c>
    </row>
    <row r="70" spans="1:5" ht="14.25" customHeight="1" x14ac:dyDescent="0.45">
      <c r="A70" s="6">
        <v>43954</v>
      </c>
      <c r="B70" s="3" t="s">
        <v>16</v>
      </c>
      <c r="C70" s="3">
        <v>36</v>
      </c>
      <c r="D70" s="3">
        <v>4751</v>
      </c>
      <c r="E70" s="3">
        <v>4370</v>
      </c>
    </row>
    <row r="71" spans="1:5" ht="14.25" customHeight="1" x14ac:dyDescent="0.45">
      <c r="A71" s="6">
        <v>43954</v>
      </c>
      <c r="B71" s="3" t="s">
        <v>11</v>
      </c>
      <c r="C71" s="3">
        <v>31</v>
      </c>
      <c r="D71" s="3">
        <v>5155</v>
      </c>
      <c r="E71" s="3">
        <v>4762</v>
      </c>
    </row>
    <row r="72" spans="1:5" ht="14.25" customHeight="1" x14ac:dyDescent="0.45">
      <c r="A72" s="6">
        <v>43954</v>
      </c>
      <c r="B72" s="3" t="s">
        <v>17</v>
      </c>
      <c r="C72" s="3">
        <v>20</v>
      </c>
      <c r="D72" s="3">
        <v>1716</v>
      </c>
      <c r="E72" s="3">
        <v>1561</v>
      </c>
    </row>
    <row r="73" spans="1:5" ht="14.25" customHeight="1" x14ac:dyDescent="0.45">
      <c r="A73" s="6">
        <v>43954</v>
      </c>
      <c r="B73" s="3" t="s">
        <v>10</v>
      </c>
      <c r="C73" s="3">
        <v>20</v>
      </c>
      <c r="D73" s="3">
        <v>1520</v>
      </c>
      <c r="E73" s="3">
        <v>1373</v>
      </c>
    </row>
    <row r="74" spans="1:5" ht="14.25" customHeight="1" x14ac:dyDescent="0.45">
      <c r="A74" s="6">
        <v>43954</v>
      </c>
      <c r="B74" s="3" t="s">
        <v>20</v>
      </c>
      <c r="C74" s="3">
        <v>19</v>
      </c>
      <c r="D74" s="3">
        <v>1314</v>
      </c>
      <c r="E74" s="3">
        <v>1192</v>
      </c>
    </row>
    <row r="75" spans="1:5" ht="14.25" customHeight="1" x14ac:dyDescent="0.45">
      <c r="A75" s="6">
        <v>43954</v>
      </c>
      <c r="B75" s="3" t="s">
        <v>22</v>
      </c>
      <c r="C75" s="3">
        <v>54</v>
      </c>
      <c r="D75" s="3">
        <v>14823</v>
      </c>
      <c r="E75" s="3">
        <v>13751</v>
      </c>
    </row>
    <row r="76" spans="1:5" ht="14.25" customHeight="1" x14ac:dyDescent="0.45">
      <c r="A76" s="6">
        <v>43954</v>
      </c>
      <c r="B76" s="3" t="s">
        <v>21</v>
      </c>
      <c r="C76" s="3">
        <v>59</v>
      </c>
      <c r="D76" s="3">
        <v>15277</v>
      </c>
      <c r="E76" s="3">
        <v>14163</v>
      </c>
    </row>
    <row r="77" spans="1:5" ht="14.25" customHeight="1" x14ac:dyDescent="0.45">
      <c r="A77" s="6">
        <v>43954</v>
      </c>
      <c r="B77" s="3" t="s">
        <v>13</v>
      </c>
      <c r="C77" s="3">
        <v>19</v>
      </c>
      <c r="D77" s="3">
        <v>1402</v>
      </c>
      <c r="E77" s="3">
        <v>1234</v>
      </c>
    </row>
    <row r="78" spans="1:5" ht="14.25" customHeight="1" x14ac:dyDescent="0.45">
      <c r="A78" s="6">
        <v>43954</v>
      </c>
      <c r="B78" s="3" t="s">
        <v>23</v>
      </c>
      <c r="C78" s="3">
        <v>15</v>
      </c>
      <c r="D78" s="3">
        <v>585</v>
      </c>
      <c r="E78" s="3">
        <v>502</v>
      </c>
    </row>
    <row r="79" spans="1:5" ht="14.25" customHeight="1" x14ac:dyDescent="0.45">
      <c r="A79" s="6">
        <v>43954</v>
      </c>
      <c r="B79" s="3" t="s">
        <v>18</v>
      </c>
      <c r="C79" s="3">
        <v>15</v>
      </c>
      <c r="D79" s="3">
        <v>784</v>
      </c>
      <c r="E79" s="3">
        <v>696</v>
      </c>
    </row>
    <row r="80" spans="1:5" ht="14.25" customHeight="1" x14ac:dyDescent="0.45">
      <c r="A80" s="6">
        <v>43954</v>
      </c>
      <c r="B80" s="3" t="s">
        <v>19</v>
      </c>
      <c r="C80" s="3">
        <v>15</v>
      </c>
      <c r="D80" s="3">
        <v>455</v>
      </c>
      <c r="E80" s="3">
        <v>384</v>
      </c>
    </row>
    <row r="81" spans="1:5" ht="14.25" customHeight="1" x14ac:dyDescent="0.45">
      <c r="A81" s="6">
        <v>43954</v>
      </c>
      <c r="B81" s="3" t="s">
        <v>15</v>
      </c>
      <c r="C81" s="3">
        <v>125</v>
      </c>
      <c r="D81" s="3">
        <v>18861</v>
      </c>
      <c r="E81" s="3">
        <v>17420</v>
      </c>
    </row>
    <row r="82" spans="1:5" ht="14.25" customHeight="1" x14ac:dyDescent="0.45">
      <c r="A82" s="6">
        <v>43954</v>
      </c>
      <c r="B82" s="3" t="s">
        <v>14</v>
      </c>
      <c r="C82" s="3">
        <v>129</v>
      </c>
      <c r="D82" s="3">
        <v>15778</v>
      </c>
      <c r="E82" s="3">
        <v>14624</v>
      </c>
    </row>
    <row r="83" spans="1:5" ht="14.25" customHeight="1" x14ac:dyDescent="0.45">
      <c r="A83" s="6">
        <v>43954</v>
      </c>
      <c r="B83" s="3" t="s">
        <v>12</v>
      </c>
      <c r="C83" s="3">
        <v>10</v>
      </c>
      <c r="D83" s="3">
        <v>402</v>
      </c>
      <c r="E83" s="3">
        <v>333</v>
      </c>
    </row>
    <row r="84" spans="1:5" ht="14.25" customHeight="1" x14ac:dyDescent="0.45">
      <c r="A84" s="6">
        <v>43955</v>
      </c>
      <c r="B84" s="3" t="s">
        <v>16</v>
      </c>
      <c r="C84" s="3">
        <v>36</v>
      </c>
      <c r="D84" s="3">
        <v>4508</v>
      </c>
      <c r="E84" s="3">
        <v>4149</v>
      </c>
    </row>
    <row r="85" spans="1:5" ht="14.25" customHeight="1" x14ac:dyDescent="0.45">
      <c r="A85" s="6">
        <v>43955</v>
      </c>
      <c r="B85" s="3" t="s">
        <v>11</v>
      </c>
      <c r="C85" s="3">
        <v>31</v>
      </c>
      <c r="D85" s="3">
        <v>4968</v>
      </c>
      <c r="E85" s="3">
        <v>4596</v>
      </c>
    </row>
    <row r="86" spans="1:5" ht="14.25" customHeight="1" x14ac:dyDescent="0.45">
      <c r="A86" s="6">
        <v>43955</v>
      </c>
      <c r="B86" s="3" t="s">
        <v>17</v>
      </c>
      <c r="C86" s="3">
        <v>20</v>
      </c>
      <c r="D86" s="3">
        <v>1804</v>
      </c>
      <c r="E86" s="3">
        <v>1638</v>
      </c>
    </row>
    <row r="87" spans="1:5" ht="14.25" customHeight="1" x14ac:dyDescent="0.45">
      <c r="A87" s="6">
        <v>43955</v>
      </c>
      <c r="B87" s="3" t="s">
        <v>10</v>
      </c>
      <c r="C87" s="3">
        <v>20</v>
      </c>
      <c r="D87" s="3">
        <v>1519</v>
      </c>
      <c r="E87" s="3">
        <v>1372</v>
      </c>
    </row>
    <row r="88" spans="1:5" ht="14.25" customHeight="1" x14ac:dyDescent="0.45">
      <c r="A88" s="6">
        <v>43955</v>
      </c>
      <c r="B88" s="3" t="s">
        <v>20</v>
      </c>
      <c r="C88" s="3">
        <v>19</v>
      </c>
      <c r="D88" s="3">
        <v>1479</v>
      </c>
      <c r="E88" s="3">
        <v>1346</v>
      </c>
    </row>
    <row r="89" spans="1:5" ht="14.25" customHeight="1" x14ac:dyDescent="0.45">
      <c r="A89" s="6">
        <v>43955</v>
      </c>
      <c r="B89" s="3" t="s">
        <v>22</v>
      </c>
      <c r="C89" s="3">
        <v>54</v>
      </c>
      <c r="D89" s="3">
        <v>13606</v>
      </c>
      <c r="E89" s="3">
        <v>12697</v>
      </c>
    </row>
    <row r="90" spans="1:5" ht="14.25" customHeight="1" x14ac:dyDescent="0.45">
      <c r="A90" s="6">
        <v>43955</v>
      </c>
      <c r="B90" s="3" t="s">
        <v>21</v>
      </c>
      <c r="C90" s="3">
        <v>59</v>
      </c>
      <c r="D90" s="3">
        <v>14423</v>
      </c>
      <c r="E90" s="3">
        <v>13432</v>
      </c>
    </row>
    <row r="91" spans="1:5" ht="14.25" customHeight="1" x14ac:dyDescent="0.45">
      <c r="A91" s="6">
        <v>43955</v>
      </c>
      <c r="B91" s="3" t="s">
        <v>13</v>
      </c>
      <c r="C91" s="3">
        <v>19</v>
      </c>
      <c r="D91" s="3">
        <v>1582</v>
      </c>
      <c r="E91" s="3">
        <v>1403</v>
      </c>
    </row>
    <row r="92" spans="1:5" ht="14.25" customHeight="1" x14ac:dyDescent="0.45">
      <c r="A92" s="6">
        <v>43955</v>
      </c>
      <c r="B92" s="3" t="s">
        <v>23</v>
      </c>
      <c r="C92" s="3">
        <v>15</v>
      </c>
      <c r="D92" s="3">
        <v>622</v>
      </c>
      <c r="E92" s="3">
        <v>538</v>
      </c>
    </row>
    <row r="93" spans="1:5" ht="14.25" customHeight="1" x14ac:dyDescent="0.45">
      <c r="A93" s="6">
        <v>43955</v>
      </c>
      <c r="B93" s="3" t="s">
        <v>18</v>
      </c>
      <c r="C93" s="3">
        <v>15</v>
      </c>
      <c r="D93" s="3">
        <v>750</v>
      </c>
      <c r="E93" s="3">
        <v>647</v>
      </c>
    </row>
    <row r="94" spans="1:5" ht="14.25" customHeight="1" x14ac:dyDescent="0.45">
      <c r="A94" s="6">
        <v>43955</v>
      </c>
      <c r="B94" s="3" t="s">
        <v>19</v>
      </c>
      <c r="C94" s="3">
        <v>15</v>
      </c>
      <c r="D94" s="3">
        <v>390</v>
      </c>
      <c r="E94" s="3">
        <v>315</v>
      </c>
    </row>
    <row r="95" spans="1:5" ht="14.25" customHeight="1" x14ac:dyDescent="0.45">
      <c r="A95" s="6">
        <v>43955</v>
      </c>
      <c r="B95" s="3" t="s">
        <v>15</v>
      </c>
      <c r="C95" s="3">
        <v>125</v>
      </c>
      <c r="D95" s="3">
        <v>20495</v>
      </c>
      <c r="E95" s="3">
        <v>18964</v>
      </c>
    </row>
    <row r="96" spans="1:5" ht="14.25" customHeight="1" x14ac:dyDescent="0.45">
      <c r="A96" s="6">
        <v>43955</v>
      </c>
      <c r="B96" s="3" t="s">
        <v>14</v>
      </c>
      <c r="C96" s="3">
        <v>129</v>
      </c>
      <c r="D96" s="3">
        <v>16525</v>
      </c>
      <c r="E96" s="3">
        <v>15310</v>
      </c>
    </row>
    <row r="97" spans="1:5" ht="14.25" customHeight="1" x14ac:dyDescent="0.45">
      <c r="A97" s="6">
        <v>43955</v>
      </c>
      <c r="B97" s="3" t="s">
        <v>12</v>
      </c>
      <c r="C97" s="3">
        <v>10</v>
      </c>
      <c r="D97" s="3">
        <v>462</v>
      </c>
      <c r="E97" s="3">
        <v>396</v>
      </c>
    </row>
    <row r="98" spans="1:5" ht="14.25" customHeight="1" x14ac:dyDescent="0.45">
      <c r="A98" s="6">
        <v>43956</v>
      </c>
      <c r="B98" s="3" t="s">
        <v>16</v>
      </c>
      <c r="C98" s="3">
        <v>36</v>
      </c>
      <c r="D98" s="3">
        <v>4575</v>
      </c>
      <c r="E98" s="3">
        <v>4206</v>
      </c>
    </row>
    <row r="99" spans="1:5" ht="14.25" customHeight="1" x14ac:dyDescent="0.45">
      <c r="A99" s="6">
        <v>43956</v>
      </c>
      <c r="B99" s="3" t="s">
        <v>11</v>
      </c>
      <c r="C99" s="3">
        <v>31</v>
      </c>
      <c r="D99" s="3">
        <v>5188</v>
      </c>
      <c r="E99" s="3">
        <v>4800</v>
      </c>
    </row>
    <row r="100" spans="1:5" ht="14.25" customHeight="1" x14ac:dyDescent="0.45">
      <c r="A100" s="6">
        <v>43956</v>
      </c>
      <c r="B100" s="3" t="s">
        <v>17</v>
      </c>
      <c r="C100" s="3">
        <v>20</v>
      </c>
      <c r="D100" s="3">
        <v>1757</v>
      </c>
      <c r="E100" s="3">
        <v>1596</v>
      </c>
    </row>
    <row r="101" spans="1:5" ht="14.25" customHeight="1" x14ac:dyDescent="0.45">
      <c r="A101" s="6">
        <v>43956</v>
      </c>
      <c r="B101" s="3" t="s">
        <v>10</v>
      </c>
      <c r="C101" s="3">
        <v>20</v>
      </c>
      <c r="D101" s="3">
        <v>1773</v>
      </c>
      <c r="E101" s="3">
        <v>1604</v>
      </c>
    </row>
    <row r="102" spans="1:5" ht="14.25" customHeight="1" x14ac:dyDescent="0.45">
      <c r="A102" s="6">
        <v>43956</v>
      </c>
      <c r="B102" s="3" t="s">
        <v>20</v>
      </c>
      <c r="C102" s="3">
        <v>19</v>
      </c>
      <c r="D102" s="3">
        <v>1622</v>
      </c>
      <c r="E102" s="3">
        <v>1482</v>
      </c>
    </row>
    <row r="103" spans="1:5" ht="14.25" customHeight="1" x14ac:dyDescent="0.45">
      <c r="A103" s="6">
        <v>43956</v>
      </c>
      <c r="B103" s="3" t="s">
        <v>22</v>
      </c>
      <c r="C103" s="3">
        <v>54</v>
      </c>
      <c r="D103" s="3">
        <v>12775</v>
      </c>
      <c r="E103" s="3">
        <v>11887</v>
      </c>
    </row>
    <row r="104" spans="1:5" ht="14.25" customHeight="1" x14ac:dyDescent="0.45">
      <c r="A104" s="6">
        <v>43956</v>
      </c>
      <c r="B104" s="3" t="s">
        <v>21</v>
      </c>
      <c r="C104" s="3">
        <v>59</v>
      </c>
      <c r="D104" s="3">
        <v>13469</v>
      </c>
      <c r="E104" s="3">
        <v>12486</v>
      </c>
    </row>
    <row r="105" spans="1:5" ht="14.25" customHeight="1" x14ac:dyDescent="0.45">
      <c r="A105" s="6">
        <v>43956</v>
      </c>
      <c r="B105" s="3" t="s">
        <v>13</v>
      </c>
      <c r="C105" s="3">
        <v>19</v>
      </c>
      <c r="D105" s="3">
        <v>1417</v>
      </c>
      <c r="E105" s="3">
        <v>1245</v>
      </c>
    </row>
    <row r="106" spans="1:5" ht="14.25" customHeight="1" x14ac:dyDescent="0.45">
      <c r="A106" s="6">
        <v>43956</v>
      </c>
      <c r="B106" s="3" t="s">
        <v>23</v>
      </c>
      <c r="C106" s="3">
        <v>15</v>
      </c>
      <c r="D106" s="3">
        <v>750</v>
      </c>
      <c r="E106" s="3">
        <v>658</v>
      </c>
    </row>
    <row r="107" spans="1:5" ht="14.25" customHeight="1" x14ac:dyDescent="0.45">
      <c r="A107" s="6">
        <v>43956</v>
      </c>
      <c r="B107" s="3" t="s">
        <v>18</v>
      </c>
      <c r="C107" s="3">
        <v>15</v>
      </c>
      <c r="D107" s="3">
        <v>922</v>
      </c>
      <c r="E107" s="3">
        <v>823</v>
      </c>
    </row>
    <row r="108" spans="1:5" ht="14.25" customHeight="1" x14ac:dyDescent="0.45">
      <c r="A108" s="6">
        <v>43956</v>
      </c>
      <c r="B108" s="3" t="s">
        <v>19</v>
      </c>
      <c r="C108" s="3">
        <v>15</v>
      </c>
      <c r="D108" s="3">
        <v>455</v>
      </c>
      <c r="E108" s="3">
        <v>381</v>
      </c>
    </row>
    <row r="109" spans="1:5" ht="14.25" customHeight="1" x14ac:dyDescent="0.45">
      <c r="A109" s="6">
        <v>43956</v>
      </c>
      <c r="B109" s="3" t="s">
        <v>15</v>
      </c>
      <c r="C109" s="3">
        <v>125</v>
      </c>
      <c r="D109" s="3">
        <v>18944</v>
      </c>
      <c r="E109" s="3">
        <v>17541</v>
      </c>
    </row>
    <row r="110" spans="1:5" ht="14.25" customHeight="1" x14ac:dyDescent="0.45">
      <c r="A110" s="6">
        <v>43956</v>
      </c>
      <c r="B110" s="3" t="s">
        <v>14</v>
      </c>
      <c r="C110" s="3">
        <v>129</v>
      </c>
      <c r="D110" s="3">
        <v>15665</v>
      </c>
      <c r="E110" s="3">
        <v>14501</v>
      </c>
    </row>
    <row r="111" spans="1:5" ht="14.25" customHeight="1" x14ac:dyDescent="0.45">
      <c r="A111" s="6">
        <v>43956</v>
      </c>
      <c r="B111" s="3" t="s">
        <v>12</v>
      </c>
      <c r="C111" s="3">
        <v>10</v>
      </c>
      <c r="D111" s="3">
        <v>511</v>
      </c>
      <c r="E111" s="3">
        <v>437</v>
      </c>
    </row>
    <row r="112" spans="1:5" ht="14.25" customHeight="1" x14ac:dyDescent="0.45">
      <c r="A112" s="6">
        <v>43957</v>
      </c>
      <c r="B112" s="3" t="s">
        <v>16</v>
      </c>
      <c r="C112" s="3">
        <v>36</v>
      </c>
      <c r="D112" s="3">
        <v>4384</v>
      </c>
      <c r="E112" s="3">
        <v>4025</v>
      </c>
    </row>
    <row r="113" spans="1:5" ht="14.25" customHeight="1" x14ac:dyDescent="0.45">
      <c r="A113" s="6">
        <v>43957</v>
      </c>
      <c r="B113" s="3" t="s">
        <v>11</v>
      </c>
      <c r="C113" s="3">
        <v>31</v>
      </c>
      <c r="D113" s="3">
        <v>4709</v>
      </c>
      <c r="E113" s="3">
        <v>4348</v>
      </c>
    </row>
    <row r="114" spans="1:5" ht="14.25" customHeight="1" x14ac:dyDescent="0.45">
      <c r="A114" s="6">
        <v>43957</v>
      </c>
      <c r="B114" s="3" t="s">
        <v>17</v>
      </c>
      <c r="C114" s="3">
        <v>20</v>
      </c>
      <c r="D114" s="3">
        <v>1747</v>
      </c>
      <c r="E114" s="3">
        <v>1570</v>
      </c>
    </row>
    <row r="115" spans="1:5" ht="14.25" customHeight="1" x14ac:dyDescent="0.45">
      <c r="A115" s="6">
        <v>43957</v>
      </c>
      <c r="B115" s="3" t="s">
        <v>10</v>
      </c>
      <c r="C115" s="3">
        <v>20</v>
      </c>
      <c r="D115" s="3">
        <v>1784</v>
      </c>
      <c r="E115" s="3">
        <v>1632</v>
      </c>
    </row>
    <row r="116" spans="1:5" ht="14.25" customHeight="1" x14ac:dyDescent="0.45">
      <c r="A116" s="6">
        <v>43957</v>
      </c>
      <c r="B116" s="3" t="s">
        <v>20</v>
      </c>
      <c r="C116" s="3">
        <v>19</v>
      </c>
      <c r="D116" s="3">
        <v>1509</v>
      </c>
      <c r="E116" s="3">
        <v>1374</v>
      </c>
    </row>
    <row r="117" spans="1:5" ht="14.25" customHeight="1" x14ac:dyDescent="0.45">
      <c r="A117" s="6">
        <v>43957</v>
      </c>
      <c r="B117" s="3" t="s">
        <v>22</v>
      </c>
      <c r="C117" s="3">
        <v>54</v>
      </c>
      <c r="D117" s="3">
        <v>13406</v>
      </c>
      <c r="E117" s="3">
        <v>12518</v>
      </c>
    </row>
    <row r="118" spans="1:5" ht="14.25" customHeight="1" x14ac:dyDescent="0.45">
      <c r="A118" s="6">
        <v>43957</v>
      </c>
      <c r="B118" s="3" t="s">
        <v>21</v>
      </c>
      <c r="C118" s="3">
        <v>59</v>
      </c>
      <c r="D118" s="3">
        <v>14103</v>
      </c>
      <c r="E118" s="3">
        <v>13118</v>
      </c>
    </row>
    <row r="119" spans="1:5" ht="14.25" customHeight="1" x14ac:dyDescent="0.45">
      <c r="A119" s="6">
        <v>43957</v>
      </c>
      <c r="B119" s="3" t="s">
        <v>13</v>
      </c>
      <c r="C119" s="3">
        <v>19</v>
      </c>
      <c r="D119" s="3">
        <v>1499</v>
      </c>
      <c r="E119" s="3">
        <v>1323</v>
      </c>
    </row>
    <row r="120" spans="1:5" ht="14.25" customHeight="1" x14ac:dyDescent="0.45">
      <c r="A120" s="6">
        <v>43957</v>
      </c>
      <c r="B120" s="3" t="s">
        <v>23</v>
      </c>
      <c r="C120" s="3">
        <v>15</v>
      </c>
      <c r="D120" s="3">
        <v>701</v>
      </c>
      <c r="E120" s="3">
        <v>611</v>
      </c>
    </row>
    <row r="121" spans="1:5" ht="14.25" customHeight="1" x14ac:dyDescent="0.45">
      <c r="A121" s="6">
        <v>43957</v>
      </c>
      <c r="B121" s="3" t="s">
        <v>18</v>
      </c>
      <c r="C121" s="3">
        <v>15</v>
      </c>
      <c r="D121" s="3">
        <v>839</v>
      </c>
      <c r="E121" s="3">
        <v>733</v>
      </c>
    </row>
    <row r="122" spans="1:5" ht="14.25" customHeight="1" x14ac:dyDescent="0.45">
      <c r="A122" s="6">
        <v>43957</v>
      </c>
      <c r="B122" s="3" t="s">
        <v>19</v>
      </c>
      <c r="C122" s="3">
        <v>15</v>
      </c>
      <c r="D122" s="3">
        <v>467</v>
      </c>
      <c r="E122" s="3">
        <v>389</v>
      </c>
    </row>
    <row r="123" spans="1:5" ht="14.25" customHeight="1" x14ac:dyDescent="0.45">
      <c r="A123" s="6">
        <v>43957</v>
      </c>
      <c r="B123" s="3" t="s">
        <v>15</v>
      </c>
      <c r="C123" s="3">
        <v>125</v>
      </c>
      <c r="D123" s="3">
        <v>20218</v>
      </c>
      <c r="E123" s="3">
        <v>18647</v>
      </c>
    </row>
    <row r="124" spans="1:5" ht="14.25" customHeight="1" x14ac:dyDescent="0.45">
      <c r="A124" s="6">
        <v>43957</v>
      </c>
      <c r="B124" s="3" t="s">
        <v>14</v>
      </c>
      <c r="C124" s="3">
        <v>129</v>
      </c>
      <c r="D124" s="3">
        <v>16376</v>
      </c>
      <c r="E124" s="3">
        <v>15197</v>
      </c>
    </row>
    <row r="125" spans="1:5" ht="14.25" customHeight="1" x14ac:dyDescent="0.45">
      <c r="A125" s="6">
        <v>43957</v>
      </c>
      <c r="B125" s="3" t="s">
        <v>12</v>
      </c>
      <c r="C125" s="3">
        <v>10</v>
      </c>
      <c r="D125" s="3">
        <v>465</v>
      </c>
      <c r="E125" s="3">
        <v>390</v>
      </c>
    </row>
    <row r="126" spans="1:5" ht="14.25" customHeight="1" x14ac:dyDescent="0.45">
      <c r="A126" s="6">
        <v>43958</v>
      </c>
      <c r="B126" s="3" t="s">
        <v>16</v>
      </c>
      <c r="C126" s="3">
        <v>36</v>
      </c>
      <c r="D126" s="3">
        <v>4826</v>
      </c>
      <c r="E126" s="3">
        <v>4426</v>
      </c>
    </row>
    <row r="127" spans="1:5" ht="14.25" customHeight="1" x14ac:dyDescent="0.45">
      <c r="A127" s="6">
        <v>43958</v>
      </c>
      <c r="B127" s="3" t="s">
        <v>11</v>
      </c>
      <c r="C127" s="3">
        <v>31</v>
      </c>
      <c r="D127" s="3">
        <v>4903</v>
      </c>
      <c r="E127" s="3">
        <v>4527</v>
      </c>
    </row>
    <row r="128" spans="1:5" ht="14.25" customHeight="1" x14ac:dyDescent="0.45">
      <c r="A128" s="6">
        <v>43958</v>
      </c>
      <c r="B128" s="3" t="s">
        <v>17</v>
      </c>
      <c r="C128" s="3">
        <v>21</v>
      </c>
      <c r="D128" s="3">
        <v>1879</v>
      </c>
      <c r="E128" s="3">
        <v>1695</v>
      </c>
    </row>
    <row r="129" spans="1:5" ht="14.25" customHeight="1" x14ac:dyDescent="0.45">
      <c r="A129" s="6">
        <v>43958</v>
      </c>
      <c r="B129" s="3" t="s">
        <v>10</v>
      </c>
      <c r="C129" s="3">
        <v>21</v>
      </c>
      <c r="D129" s="3">
        <v>1542</v>
      </c>
      <c r="E129" s="3">
        <v>1405</v>
      </c>
    </row>
    <row r="130" spans="1:5" ht="14.25" customHeight="1" x14ac:dyDescent="0.45">
      <c r="A130" s="6">
        <v>43958</v>
      </c>
      <c r="B130" s="3" t="s">
        <v>20</v>
      </c>
      <c r="C130" s="3">
        <v>19</v>
      </c>
      <c r="D130" s="3">
        <v>1580</v>
      </c>
      <c r="E130" s="3">
        <v>1435</v>
      </c>
    </row>
    <row r="131" spans="1:5" ht="14.25" customHeight="1" x14ac:dyDescent="0.45">
      <c r="A131" s="6">
        <v>43958</v>
      </c>
      <c r="B131" s="3" t="s">
        <v>22</v>
      </c>
      <c r="C131" s="3">
        <v>54</v>
      </c>
      <c r="D131" s="3">
        <v>12743</v>
      </c>
      <c r="E131" s="3">
        <v>11858</v>
      </c>
    </row>
    <row r="132" spans="1:5" ht="14.25" customHeight="1" x14ac:dyDescent="0.45">
      <c r="A132" s="6">
        <v>43958</v>
      </c>
      <c r="B132" s="3" t="s">
        <v>21</v>
      </c>
      <c r="C132" s="3">
        <v>59</v>
      </c>
      <c r="D132" s="3">
        <v>13495</v>
      </c>
      <c r="E132" s="3">
        <v>12517</v>
      </c>
    </row>
    <row r="133" spans="1:5" ht="14.25" customHeight="1" x14ac:dyDescent="0.45">
      <c r="A133" s="6">
        <v>43958</v>
      </c>
      <c r="B133" s="3" t="s">
        <v>13</v>
      </c>
      <c r="C133" s="3">
        <v>19</v>
      </c>
      <c r="D133" s="3">
        <v>1530</v>
      </c>
      <c r="E133" s="3">
        <v>1338</v>
      </c>
    </row>
    <row r="134" spans="1:5" ht="14.25" customHeight="1" x14ac:dyDescent="0.45">
      <c r="A134" s="6">
        <v>43958</v>
      </c>
      <c r="B134" s="3" t="s">
        <v>23</v>
      </c>
      <c r="C134" s="3">
        <v>15</v>
      </c>
      <c r="D134" s="3">
        <v>676</v>
      </c>
      <c r="E134" s="3">
        <v>591</v>
      </c>
    </row>
    <row r="135" spans="1:5" ht="14.25" customHeight="1" x14ac:dyDescent="0.45">
      <c r="A135" s="6">
        <v>43958</v>
      </c>
      <c r="B135" s="3" t="s">
        <v>18</v>
      </c>
      <c r="C135" s="3">
        <v>15</v>
      </c>
      <c r="D135" s="3">
        <v>805</v>
      </c>
      <c r="E135" s="3">
        <v>703</v>
      </c>
    </row>
    <row r="136" spans="1:5" ht="14.25" customHeight="1" x14ac:dyDescent="0.45">
      <c r="A136" s="6">
        <v>43958</v>
      </c>
      <c r="B136" s="3" t="s">
        <v>19</v>
      </c>
      <c r="C136" s="3">
        <v>15</v>
      </c>
      <c r="D136" s="3">
        <v>480</v>
      </c>
      <c r="E136" s="3">
        <v>398</v>
      </c>
    </row>
    <row r="137" spans="1:5" ht="14.25" customHeight="1" x14ac:dyDescent="0.45">
      <c r="A137" s="6">
        <v>43958</v>
      </c>
      <c r="B137" s="3" t="s">
        <v>15</v>
      </c>
      <c r="C137" s="3">
        <v>125</v>
      </c>
      <c r="D137" s="3">
        <v>18014</v>
      </c>
      <c r="E137" s="3">
        <v>16675</v>
      </c>
    </row>
    <row r="138" spans="1:5" ht="14.25" customHeight="1" x14ac:dyDescent="0.45">
      <c r="A138" s="6">
        <v>43958</v>
      </c>
      <c r="B138" s="3" t="s">
        <v>14</v>
      </c>
      <c r="C138" s="3">
        <v>129</v>
      </c>
      <c r="D138" s="3">
        <v>14582</v>
      </c>
      <c r="E138" s="3">
        <v>13512</v>
      </c>
    </row>
    <row r="139" spans="1:5" ht="14.25" customHeight="1" x14ac:dyDescent="0.45">
      <c r="A139" s="6">
        <v>43958</v>
      </c>
      <c r="B139" s="3" t="s">
        <v>12</v>
      </c>
      <c r="C139" s="3">
        <v>10</v>
      </c>
      <c r="D139" s="3">
        <v>563</v>
      </c>
      <c r="E139" s="3">
        <v>486</v>
      </c>
    </row>
    <row r="140" spans="1:5" ht="14.25" customHeight="1" x14ac:dyDescent="0.45">
      <c r="A140" s="6">
        <v>43959</v>
      </c>
      <c r="B140" s="3" t="s">
        <v>16</v>
      </c>
      <c r="C140" s="3">
        <v>36</v>
      </c>
      <c r="D140" s="3">
        <v>4199</v>
      </c>
      <c r="E140" s="3">
        <v>3867</v>
      </c>
    </row>
    <row r="141" spans="1:5" ht="14.25" customHeight="1" x14ac:dyDescent="0.45">
      <c r="A141" s="6">
        <v>43959</v>
      </c>
      <c r="B141" s="3" t="s">
        <v>11</v>
      </c>
      <c r="C141" s="3">
        <v>31</v>
      </c>
      <c r="D141" s="3">
        <v>4635</v>
      </c>
      <c r="E141" s="3">
        <v>4266</v>
      </c>
    </row>
    <row r="142" spans="1:5" ht="14.25" customHeight="1" x14ac:dyDescent="0.45">
      <c r="A142" s="6">
        <v>43959</v>
      </c>
      <c r="B142" s="3" t="s">
        <v>17</v>
      </c>
      <c r="C142" s="3">
        <v>21</v>
      </c>
      <c r="D142" s="3">
        <v>1957</v>
      </c>
      <c r="E142" s="3">
        <v>1755</v>
      </c>
    </row>
    <row r="143" spans="1:5" ht="14.25" customHeight="1" x14ac:dyDescent="0.45">
      <c r="A143" s="6">
        <v>43959</v>
      </c>
      <c r="B143" s="3" t="s">
        <v>10</v>
      </c>
      <c r="C143" s="3">
        <v>21</v>
      </c>
      <c r="D143" s="3">
        <v>1646</v>
      </c>
      <c r="E143" s="3">
        <v>1492</v>
      </c>
    </row>
    <row r="144" spans="1:5" ht="14.25" customHeight="1" x14ac:dyDescent="0.45">
      <c r="A144" s="6">
        <v>43959</v>
      </c>
      <c r="B144" s="3" t="s">
        <v>20</v>
      </c>
      <c r="C144" s="3">
        <v>19</v>
      </c>
      <c r="D144" s="3">
        <v>1520</v>
      </c>
      <c r="E144" s="3">
        <v>1380</v>
      </c>
    </row>
    <row r="145" spans="1:5" ht="14.25" customHeight="1" x14ac:dyDescent="0.45">
      <c r="A145" s="6">
        <v>43959</v>
      </c>
      <c r="B145" s="3" t="s">
        <v>22</v>
      </c>
      <c r="C145" s="3">
        <v>54</v>
      </c>
      <c r="D145" s="3">
        <v>13563</v>
      </c>
      <c r="E145" s="3">
        <v>12604</v>
      </c>
    </row>
    <row r="146" spans="1:5" ht="14.25" customHeight="1" x14ac:dyDescent="0.45">
      <c r="A146" s="6">
        <v>43959</v>
      </c>
      <c r="B146" s="3" t="s">
        <v>21</v>
      </c>
      <c r="C146" s="3">
        <v>59</v>
      </c>
      <c r="D146" s="3">
        <v>14098</v>
      </c>
      <c r="E146" s="3">
        <v>13106</v>
      </c>
    </row>
    <row r="147" spans="1:5" ht="14.25" customHeight="1" x14ac:dyDescent="0.45">
      <c r="A147" s="6">
        <v>43959</v>
      </c>
      <c r="B147" s="3" t="s">
        <v>13</v>
      </c>
      <c r="C147" s="3">
        <v>19</v>
      </c>
      <c r="D147" s="3">
        <v>1522</v>
      </c>
      <c r="E147" s="3">
        <v>1340</v>
      </c>
    </row>
    <row r="148" spans="1:5" ht="14.25" customHeight="1" x14ac:dyDescent="0.45">
      <c r="A148" s="6">
        <v>43959</v>
      </c>
      <c r="B148" s="3" t="s">
        <v>23</v>
      </c>
      <c r="C148" s="3">
        <v>15</v>
      </c>
      <c r="D148" s="3">
        <v>703</v>
      </c>
      <c r="E148" s="3">
        <v>609</v>
      </c>
    </row>
    <row r="149" spans="1:5" ht="14.25" customHeight="1" x14ac:dyDescent="0.45">
      <c r="A149" s="6">
        <v>43959</v>
      </c>
      <c r="B149" s="3" t="s">
        <v>18</v>
      </c>
      <c r="C149" s="3">
        <v>15</v>
      </c>
      <c r="D149" s="3">
        <v>879</v>
      </c>
      <c r="E149" s="3">
        <v>768</v>
      </c>
    </row>
    <row r="150" spans="1:5" ht="14.25" customHeight="1" x14ac:dyDescent="0.45">
      <c r="A150" s="6">
        <v>43959</v>
      </c>
      <c r="B150" s="3" t="s">
        <v>19</v>
      </c>
      <c r="C150" s="3">
        <v>15</v>
      </c>
      <c r="D150" s="3">
        <v>492</v>
      </c>
      <c r="E150" s="3">
        <v>412</v>
      </c>
    </row>
    <row r="151" spans="1:5" ht="14.25" customHeight="1" x14ac:dyDescent="0.45">
      <c r="A151" s="6">
        <v>43959</v>
      </c>
      <c r="B151" s="3" t="s">
        <v>15</v>
      </c>
      <c r="C151" s="3">
        <v>125</v>
      </c>
      <c r="D151" s="3">
        <v>24620</v>
      </c>
      <c r="E151" s="3">
        <v>22641</v>
      </c>
    </row>
    <row r="152" spans="1:5" ht="14.25" customHeight="1" x14ac:dyDescent="0.45">
      <c r="A152" s="6">
        <v>43959</v>
      </c>
      <c r="B152" s="3" t="s">
        <v>14</v>
      </c>
      <c r="C152" s="3">
        <v>129</v>
      </c>
      <c r="D152" s="3">
        <v>20452</v>
      </c>
      <c r="E152" s="3">
        <v>18857</v>
      </c>
    </row>
    <row r="153" spans="1:5" ht="14.25" customHeight="1" x14ac:dyDescent="0.45">
      <c r="A153" s="6">
        <v>43959</v>
      </c>
      <c r="B153" s="3" t="s">
        <v>12</v>
      </c>
      <c r="C153" s="3">
        <v>10</v>
      </c>
      <c r="D153" s="3">
        <v>638</v>
      </c>
      <c r="E153" s="3">
        <v>547</v>
      </c>
    </row>
    <row r="154" spans="1:5" ht="14.25" customHeight="1" x14ac:dyDescent="0.45">
      <c r="A154" s="6">
        <v>43960</v>
      </c>
      <c r="B154" s="3" t="s">
        <v>16</v>
      </c>
      <c r="C154" s="3">
        <v>36</v>
      </c>
      <c r="D154" s="3">
        <v>5413</v>
      </c>
      <c r="E154" s="3">
        <v>4959</v>
      </c>
    </row>
    <row r="155" spans="1:5" ht="14.25" customHeight="1" x14ac:dyDescent="0.45">
      <c r="A155" s="6">
        <v>43960</v>
      </c>
      <c r="B155" s="3" t="s">
        <v>11</v>
      </c>
      <c r="C155" s="3">
        <v>31</v>
      </c>
      <c r="D155" s="3">
        <v>4556</v>
      </c>
      <c r="E155" s="3">
        <v>4220</v>
      </c>
    </row>
    <row r="156" spans="1:5" ht="14.25" customHeight="1" x14ac:dyDescent="0.45">
      <c r="A156" s="6">
        <v>43960</v>
      </c>
      <c r="B156" s="3" t="s">
        <v>17</v>
      </c>
      <c r="C156" s="3">
        <v>21</v>
      </c>
      <c r="D156" s="3">
        <v>1891</v>
      </c>
      <c r="E156" s="3">
        <v>1709</v>
      </c>
    </row>
    <row r="157" spans="1:5" ht="14.25" customHeight="1" x14ac:dyDescent="0.45">
      <c r="A157" s="6">
        <v>43960</v>
      </c>
      <c r="B157" s="3" t="s">
        <v>10</v>
      </c>
      <c r="C157" s="3">
        <v>21</v>
      </c>
      <c r="D157" s="3">
        <v>1735</v>
      </c>
      <c r="E157" s="3">
        <v>1568</v>
      </c>
    </row>
    <row r="158" spans="1:5" ht="14.25" customHeight="1" x14ac:dyDescent="0.45">
      <c r="A158" s="6">
        <v>43960</v>
      </c>
      <c r="B158" s="3" t="s">
        <v>20</v>
      </c>
      <c r="C158" s="3">
        <v>19</v>
      </c>
      <c r="D158" s="3">
        <v>1542</v>
      </c>
      <c r="E158" s="3">
        <v>1412</v>
      </c>
    </row>
    <row r="159" spans="1:5" ht="14.25" customHeight="1" x14ac:dyDescent="0.45">
      <c r="A159" s="6">
        <v>43960</v>
      </c>
      <c r="B159" s="3" t="s">
        <v>22</v>
      </c>
      <c r="C159" s="3">
        <v>54</v>
      </c>
      <c r="D159" s="3">
        <v>11288</v>
      </c>
      <c r="E159" s="3">
        <v>10492</v>
      </c>
    </row>
    <row r="160" spans="1:5" ht="14.25" customHeight="1" x14ac:dyDescent="0.45">
      <c r="A160" s="6">
        <v>43960</v>
      </c>
      <c r="B160" s="3" t="s">
        <v>21</v>
      </c>
      <c r="C160" s="3">
        <v>59</v>
      </c>
      <c r="D160" s="3">
        <v>12016</v>
      </c>
      <c r="E160" s="3">
        <v>11137</v>
      </c>
    </row>
    <row r="161" spans="1:5" ht="14.25" customHeight="1" x14ac:dyDescent="0.45">
      <c r="A161" s="6">
        <v>43960</v>
      </c>
      <c r="B161" s="3" t="s">
        <v>13</v>
      </c>
      <c r="C161" s="3">
        <v>19</v>
      </c>
      <c r="D161" s="3">
        <v>1851</v>
      </c>
      <c r="E161" s="3">
        <v>1635</v>
      </c>
    </row>
    <row r="162" spans="1:5" ht="14.25" customHeight="1" x14ac:dyDescent="0.45">
      <c r="A162" s="6">
        <v>43960</v>
      </c>
      <c r="B162" s="3" t="s">
        <v>23</v>
      </c>
      <c r="C162" s="3">
        <v>15</v>
      </c>
      <c r="D162" s="3">
        <v>654</v>
      </c>
      <c r="E162" s="3">
        <v>570</v>
      </c>
    </row>
    <row r="163" spans="1:5" ht="14.25" customHeight="1" x14ac:dyDescent="0.45">
      <c r="A163" s="6">
        <v>43960</v>
      </c>
      <c r="B163" s="3" t="s">
        <v>18</v>
      </c>
      <c r="C163" s="3">
        <v>15</v>
      </c>
      <c r="D163" s="3">
        <v>849</v>
      </c>
      <c r="E163" s="3">
        <v>740</v>
      </c>
    </row>
    <row r="164" spans="1:5" ht="14.25" customHeight="1" x14ac:dyDescent="0.45">
      <c r="A164" s="6">
        <v>43960</v>
      </c>
      <c r="B164" s="3" t="s">
        <v>19</v>
      </c>
      <c r="C164" s="3">
        <v>15</v>
      </c>
      <c r="D164" s="3">
        <v>623</v>
      </c>
      <c r="E164" s="3">
        <v>535</v>
      </c>
    </row>
    <row r="165" spans="1:5" ht="14.25" customHeight="1" x14ac:dyDescent="0.45">
      <c r="A165" s="6">
        <v>43960</v>
      </c>
      <c r="B165" s="3" t="s">
        <v>15</v>
      </c>
      <c r="C165" s="3">
        <v>125</v>
      </c>
      <c r="D165" s="3">
        <v>20132</v>
      </c>
      <c r="E165" s="3">
        <v>18617</v>
      </c>
    </row>
    <row r="166" spans="1:5" ht="14.25" customHeight="1" x14ac:dyDescent="0.45">
      <c r="A166" s="6">
        <v>43960</v>
      </c>
      <c r="B166" s="3" t="s">
        <v>14</v>
      </c>
      <c r="C166" s="3">
        <v>129</v>
      </c>
      <c r="D166" s="3">
        <v>16420</v>
      </c>
      <c r="E166" s="3">
        <v>15169</v>
      </c>
    </row>
    <row r="167" spans="1:5" ht="14.25" customHeight="1" x14ac:dyDescent="0.45">
      <c r="A167" s="6">
        <v>43960</v>
      </c>
      <c r="B167" s="3" t="s">
        <v>12</v>
      </c>
      <c r="C167" s="3">
        <v>10</v>
      </c>
      <c r="D167" s="3">
        <v>644</v>
      </c>
      <c r="E167" s="3">
        <v>559</v>
      </c>
    </row>
    <row r="168" spans="1:5" ht="14.25" customHeight="1" x14ac:dyDescent="0.45">
      <c r="A168" s="6">
        <v>43961</v>
      </c>
      <c r="B168" s="3" t="s">
        <v>16</v>
      </c>
      <c r="C168" s="3">
        <v>36</v>
      </c>
      <c r="D168" s="3">
        <v>5746</v>
      </c>
      <c r="E168" s="3">
        <v>5277</v>
      </c>
    </row>
    <row r="169" spans="1:5" ht="14.25" customHeight="1" x14ac:dyDescent="0.45">
      <c r="A169" s="6">
        <v>43961</v>
      </c>
      <c r="B169" s="3" t="s">
        <v>11</v>
      </c>
      <c r="C169" s="3">
        <v>31</v>
      </c>
      <c r="D169" s="3">
        <v>5495</v>
      </c>
      <c r="E169" s="3">
        <v>5093</v>
      </c>
    </row>
    <row r="170" spans="1:5" ht="14.25" customHeight="1" x14ac:dyDescent="0.45">
      <c r="A170" s="6">
        <v>43961</v>
      </c>
      <c r="B170" s="3" t="s">
        <v>17</v>
      </c>
      <c r="C170" s="3">
        <v>21</v>
      </c>
      <c r="D170" s="3">
        <v>2120</v>
      </c>
      <c r="E170" s="3">
        <v>1921</v>
      </c>
    </row>
    <row r="171" spans="1:5" ht="14.25" customHeight="1" x14ac:dyDescent="0.45">
      <c r="A171" s="6">
        <v>43961</v>
      </c>
      <c r="B171" s="3" t="s">
        <v>10</v>
      </c>
      <c r="C171" s="3">
        <v>21</v>
      </c>
      <c r="D171" s="3">
        <v>2016</v>
      </c>
      <c r="E171" s="3">
        <v>1846</v>
      </c>
    </row>
    <row r="172" spans="1:5" ht="14.25" customHeight="1" x14ac:dyDescent="0.45">
      <c r="A172" s="6">
        <v>43961</v>
      </c>
      <c r="B172" s="3" t="s">
        <v>20</v>
      </c>
      <c r="C172" s="3">
        <v>19</v>
      </c>
      <c r="D172" s="3">
        <v>1836</v>
      </c>
      <c r="E172" s="3">
        <v>1680</v>
      </c>
    </row>
    <row r="173" spans="1:5" ht="14.25" customHeight="1" x14ac:dyDescent="0.45">
      <c r="A173" s="6">
        <v>43961</v>
      </c>
      <c r="B173" s="3" t="s">
        <v>22</v>
      </c>
      <c r="C173" s="3">
        <v>54</v>
      </c>
      <c r="D173" s="3">
        <v>13832</v>
      </c>
      <c r="E173" s="3">
        <v>12864</v>
      </c>
    </row>
    <row r="174" spans="1:5" ht="14.25" customHeight="1" x14ac:dyDescent="0.45">
      <c r="A174" s="6">
        <v>43961</v>
      </c>
      <c r="B174" s="3" t="s">
        <v>21</v>
      </c>
      <c r="C174" s="3">
        <v>59</v>
      </c>
      <c r="D174" s="3">
        <v>14569</v>
      </c>
      <c r="E174" s="3">
        <v>13566</v>
      </c>
    </row>
    <row r="175" spans="1:5" ht="14.25" customHeight="1" x14ac:dyDescent="0.45">
      <c r="A175" s="6">
        <v>43961</v>
      </c>
      <c r="B175" s="3" t="s">
        <v>13</v>
      </c>
      <c r="C175" s="3">
        <v>19</v>
      </c>
      <c r="D175" s="3">
        <v>1848</v>
      </c>
      <c r="E175" s="3">
        <v>1649</v>
      </c>
    </row>
    <row r="176" spans="1:5" ht="14.25" customHeight="1" x14ac:dyDescent="0.45">
      <c r="A176" s="6">
        <v>43961</v>
      </c>
      <c r="B176" s="3" t="s">
        <v>23</v>
      </c>
      <c r="C176" s="3">
        <v>15</v>
      </c>
      <c r="D176" s="3">
        <v>792</v>
      </c>
      <c r="E176" s="3">
        <v>695</v>
      </c>
    </row>
    <row r="177" spans="1:5" ht="14.25" customHeight="1" x14ac:dyDescent="0.45">
      <c r="A177" s="6">
        <v>43961</v>
      </c>
      <c r="B177" s="3" t="s">
        <v>18</v>
      </c>
      <c r="C177" s="3">
        <v>15</v>
      </c>
      <c r="D177" s="3">
        <v>950</v>
      </c>
      <c r="E177" s="3">
        <v>848</v>
      </c>
    </row>
    <row r="178" spans="1:5" ht="14.25" customHeight="1" x14ac:dyDescent="0.45">
      <c r="A178" s="6">
        <v>43961</v>
      </c>
      <c r="B178" s="3" t="s">
        <v>19</v>
      </c>
      <c r="C178" s="3">
        <v>15</v>
      </c>
      <c r="D178" s="3">
        <v>706</v>
      </c>
      <c r="E178" s="3">
        <v>608</v>
      </c>
    </row>
    <row r="179" spans="1:5" ht="14.25" customHeight="1" x14ac:dyDescent="0.45">
      <c r="A179" s="6">
        <v>43961</v>
      </c>
      <c r="B179" s="3" t="s">
        <v>15</v>
      </c>
      <c r="C179" s="3">
        <v>125</v>
      </c>
      <c r="D179" s="3">
        <v>20368</v>
      </c>
      <c r="E179" s="3">
        <v>18884</v>
      </c>
    </row>
    <row r="180" spans="1:5" ht="14.25" customHeight="1" x14ac:dyDescent="0.45">
      <c r="A180" s="6">
        <v>43961</v>
      </c>
      <c r="B180" s="3" t="s">
        <v>14</v>
      </c>
      <c r="C180" s="3">
        <v>129</v>
      </c>
      <c r="D180" s="3">
        <v>16437</v>
      </c>
      <c r="E180" s="3">
        <v>15285</v>
      </c>
    </row>
    <row r="181" spans="1:5" ht="14.25" customHeight="1" x14ac:dyDescent="0.45">
      <c r="A181" s="6">
        <v>43961</v>
      </c>
      <c r="B181" s="3" t="s">
        <v>12</v>
      </c>
      <c r="C181" s="3">
        <v>10</v>
      </c>
      <c r="D181" s="3">
        <v>642</v>
      </c>
      <c r="E181" s="3">
        <v>556</v>
      </c>
    </row>
    <row r="182" spans="1:5" ht="14.25" customHeight="1" x14ac:dyDescent="0.45">
      <c r="A182" s="6">
        <v>43962</v>
      </c>
      <c r="B182" s="3" t="s">
        <v>16</v>
      </c>
      <c r="C182" s="3">
        <v>36</v>
      </c>
      <c r="D182" s="3">
        <v>4150</v>
      </c>
      <c r="E182" s="3">
        <v>3838</v>
      </c>
    </row>
    <row r="183" spans="1:5" ht="14.25" customHeight="1" x14ac:dyDescent="0.45">
      <c r="A183" s="6">
        <v>43962</v>
      </c>
      <c r="B183" s="3" t="s">
        <v>11</v>
      </c>
      <c r="C183" s="3">
        <v>31</v>
      </c>
      <c r="D183" s="3">
        <v>4826</v>
      </c>
      <c r="E183" s="3">
        <v>4483</v>
      </c>
    </row>
    <row r="184" spans="1:5" ht="14.25" customHeight="1" x14ac:dyDescent="0.45">
      <c r="A184" s="6">
        <v>43962</v>
      </c>
      <c r="B184" s="3" t="s">
        <v>17</v>
      </c>
      <c r="C184" s="3">
        <v>21</v>
      </c>
      <c r="D184" s="3">
        <v>1916</v>
      </c>
      <c r="E184" s="3">
        <v>1733</v>
      </c>
    </row>
    <row r="185" spans="1:5" ht="14.25" customHeight="1" x14ac:dyDescent="0.45">
      <c r="A185" s="6">
        <v>43962</v>
      </c>
      <c r="B185" s="3" t="s">
        <v>10</v>
      </c>
      <c r="C185" s="3">
        <v>21</v>
      </c>
      <c r="D185" s="3">
        <v>1597</v>
      </c>
      <c r="E185" s="3">
        <v>1457</v>
      </c>
    </row>
    <row r="186" spans="1:5" ht="14.25" customHeight="1" x14ac:dyDescent="0.45">
      <c r="A186" s="6">
        <v>43962</v>
      </c>
      <c r="B186" s="3" t="s">
        <v>20</v>
      </c>
      <c r="C186" s="3">
        <v>19</v>
      </c>
      <c r="D186" s="3">
        <v>1527</v>
      </c>
      <c r="E186" s="3">
        <v>1389</v>
      </c>
    </row>
    <row r="187" spans="1:5" ht="14.25" customHeight="1" x14ac:dyDescent="0.45">
      <c r="A187" s="6">
        <v>43962</v>
      </c>
      <c r="B187" s="3" t="s">
        <v>22</v>
      </c>
      <c r="C187" s="3">
        <v>54</v>
      </c>
      <c r="D187" s="3">
        <v>10570</v>
      </c>
      <c r="E187" s="3">
        <v>9926</v>
      </c>
    </row>
    <row r="188" spans="1:5" ht="14.25" customHeight="1" x14ac:dyDescent="0.45">
      <c r="A188" s="6">
        <v>43962</v>
      </c>
      <c r="B188" s="3" t="s">
        <v>21</v>
      </c>
      <c r="C188" s="3">
        <v>60</v>
      </c>
      <c r="D188" s="3">
        <v>11100</v>
      </c>
      <c r="E188" s="3">
        <v>10407</v>
      </c>
    </row>
    <row r="189" spans="1:5" ht="14.25" customHeight="1" x14ac:dyDescent="0.45">
      <c r="A189" s="6">
        <v>43962</v>
      </c>
      <c r="B189" s="3" t="s">
        <v>13</v>
      </c>
      <c r="C189" s="3">
        <v>19</v>
      </c>
      <c r="D189" s="3">
        <v>2530</v>
      </c>
      <c r="E189" s="3">
        <v>2270</v>
      </c>
    </row>
    <row r="190" spans="1:5" ht="14.25" customHeight="1" x14ac:dyDescent="0.45">
      <c r="A190" s="6">
        <v>43962</v>
      </c>
      <c r="B190" s="3" t="s">
        <v>23</v>
      </c>
      <c r="C190" s="3">
        <v>15</v>
      </c>
      <c r="D190" s="3">
        <v>654</v>
      </c>
      <c r="E190" s="3">
        <v>564</v>
      </c>
    </row>
    <row r="191" spans="1:5" ht="14.25" customHeight="1" x14ac:dyDescent="0.45">
      <c r="A191" s="6">
        <v>43962</v>
      </c>
      <c r="B191" s="3" t="s">
        <v>18</v>
      </c>
      <c r="C191" s="3">
        <v>15</v>
      </c>
      <c r="D191" s="3">
        <v>812</v>
      </c>
      <c r="E191" s="3">
        <v>714</v>
      </c>
    </row>
    <row r="192" spans="1:5" ht="14.25" customHeight="1" x14ac:dyDescent="0.45">
      <c r="A192" s="6">
        <v>43962</v>
      </c>
      <c r="B192" s="3" t="s">
        <v>19</v>
      </c>
      <c r="C192" s="3">
        <v>15</v>
      </c>
      <c r="D192" s="3">
        <v>684</v>
      </c>
      <c r="E192" s="3">
        <v>585</v>
      </c>
    </row>
    <row r="193" spans="1:5" ht="14.25" customHeight="1" x14ac:dyDescent="0.45">
      <c r="A193" s="6">
        <v>43962</v>
      </c>
      <c r="B193" s="3" t="s">
        <v>15</v>
      </c>
      <c r="C193" s="3">
        <v>125</v>
      </c>
      <c r="D193" s="3">
        <v>18066</v>
      </c>
      <c r="E193" s="3">
        <v>16883</v>
      </c>
    </row>
    <row r="194" spans="1:5" ht="14.25" customHeight="1" x14ac:dyDescent="0.45">
      <c r="A194" s="6">
        <v>43962</v>
      </c>
      <c r="B194" s="3" t="s">
        <v>14</v>
      </c>
      <c r="C194" s="3">
        <v>129</v>
      </c>
      <c r="D194" s="3">
        <v>14043</v>
      </c>
      <c r="E194" s="3">
        <v>13167</v>
      </c>
    </row>
    <row r="195" spans="1:5" ht="14.25" customHeight="1" x14ac:dyDescent="0.45">
      <c r="A195" s="6">
        <v>43962</v>
      </c>
      <c r="B195" s="3" t="s">
        <v>12</v>
      </c>
      <c r="C195" s="3">
        <v>10</v>
      </c>
      <c r="D195" s="3">
        <v>494</v>
      </c>
      <c r="E195" s="3">
        <v>421</v>
      </c>
    </row>
    <row r="196" spans="1:5" ht="14.25" customHeight="1" x14ac:dyDescent="0.45">
      <c r="A196" s="6">
        <v>43963</v>
      </c>
      <c r="B196" s="3" t="s">
        <v>16</v>
      </c>
      <c r="C196" s="3">
        <v>36</v>
      </c>
      <c r="D196" s="3">
        <v>4418</v>
      </c>
      <c r="E196" s="3">
        <v>4088</v>
      </c>
    </row>
    <row r="197" spans="1:5" ht="14.25" customHeight="1" x14ac:dyDescent="0.45">
      <c r="A197" s="6">
        <v>43963</v>
      </c>
      <c r="B197" s="3" t="s">
        <v>11</v>
      </c>
      <c r="C197" s="3">
        <v>31</v>
      </c>
      <c r="D197" s="3">
        <v>4800</v>
      </c>
      <c r="E197" s="3">
        <v>4470</v>
      </c>
    </row>
    <row r="198" spans="1:5" ht="14.25" customHeight="1" x14ac:dyDescent="0.45">
      <c r="A198" s="6">
        <v>43963</v>
      </c>
      <c r="B198" s="3" t="s">
        <v>17</v>
      </c>
      <c r="C198" s="3">
        <v>21</v>
      </c>
      <c r="D198" s="3">
        <v>1926</v>
      </c>
      <c r="E198" s="3">
        <v>1745</v>
      </c>
    </row>
    <row r="199" spans="1:5" ht="14.25" customHeight="1" x14ac:dyDescent="0.45">
      <c r="A199" s="6">
        <v>43963</v>
      </c>
      <c r="B199" s="3" t="s">
        <v>10</v>
      </c>
      <c r="C199" s="3">
        <v>21</v>
      </c>
      <c r="D199" s="3">
        <v>1656</v>
      </c>
      <c r="E199" s="3">
        <v>1516</v>
      </c>
    </row>
    <row r="200" spans="1:5" ht="14.25" customHeight="1" x14ac:dyDescent="0.45">
      <c r="A200" s="6">
        <v>43963</v>
      </c>
      <c r="B200" s="3" t="s">
        <v>20</v>
      </c>
      <c r="C200" s="3">
        <v>19</v>
      </c>
      <c r="D200" s="3">
        <v>1598</v>
      </c>
      <c r="E200" s="3">
        <v>1454</v>
      </c>
    </row>
    <row r="201" spans="1:5" ht="14.25" customHeight="1" x14ac:dyDescent="0.45">
      <c r="A201" s="6">
        <v>43963</v>
      </c>
      <c r="B201" s="3" t="s">
        <v>22</v>
      </c>
      <c r="C201" s="3">
        <v>54</v>
      </c>
      <c r="D201" s="3">
        <v>11614</v>
      </c>
      <c r="E201" s="3">
        <v>10862</v>
      </c>
    </row>
    <row r="202" spans="1:5" ht="14.25" customHeight="1" x14ac:dyDescent="0.45">
      <c r="A202" s="6">
        <v>43963</v>
      </c>
      <c r="B202" s="3" t="s">
        <v>21</v>
      </c>
      <c r="C202" s="3">
        <v>60</v>
      </c>
      <c r="D202" s="3">
        <v>12000</v>
      </c>
      <c r="E202" s="3">
        <v>11194</v>
      </c>
    </row>
    <row r="203" spans="1:5" ht="14.25" customHeight="1" x14ac:dyDescent="0.45">
      <c r="A203" s="6">
        <v>43963</v>
      </c>
      <c r="B203" s="3" t="s">
        <v>13</v>
      </c>
      <c r="C203" s="3">
        <v>19</v>
      </c>
      <c r="D203" s="3">
        <v>1649</v>
      </c>
      <c r="E203" s="3">
        <v>1460</v>
      </c>
    </row>
    <row r="204" spans="1:5" ht="14.25" customHeight="1" x14ac:dyDescent="0.45">
      <c r="A204" s="6">
        <v>43963</v>
      </c>
      <c r="B204" s="3" t="s">
        <v>23</v>
      </c>
      <c r="C204" s="3">
        <v>15</v>
      </c>
      <c r="D204" s="3">
        <v>750</v>
      </c>
      <c r="E204" s="3">
        <v>659</v>
      </c>
    </row>
    <row r="205" spans="1:5" ht="14.25" customHeight="1" x14ac:dyDescent="0.45">
      <c r="A205" s="6">
        <v>43963</v>
      </c>
      <c r="B205" s="3" t="s">
        <v>18</v>
      </c>
      <c r="C205" s="3">
        <v>15</v>
      </c>
      <c r="D205" s="3">
        <v>845</v>
      </c>
      <c r="E205" s="3">
        <v>743</v>
      </c>
    </row>
    <row r="206" spans="1:5" ht="14.25" customHeight="1" x14ac:dyDescent="0.45">
      <c r="A206" s="6">
        <v>43963</v>
      </c>
      <c r="B206" s="3" t="s">
        <v>19</v>
      </c>
      <c r="C206" s="3">
        <v>15</v>
      </c>
      <c r="D206" s="3">
        <v>624</v>
      </c>
      <c r="E206" s="3">
        <v>538</v>
      </c>
    </row>
    <row r="207" spans="1:5" ht="14.25" customHeight="1" x14ac:dyDescent="0.45">
      <c r="A207" s="6">
        <v>43963</v>
      </c>
      <c r="B207" s="3" t="s">
        <v>15</v>
      </c>
      <c r="C207" s="3">
        <v>125</v>
      </c>
      <c r="D207" s="3">
        <v>21106</v>
      </c>
      <c r="E207" s="3">
        <v>19651</v>
      </c>
    </row>
    <row r="208" spans="1:5" ht="14.25" customHeight="1" x14ac:dyDescent="0.45">
      <c r="A208" s="6">
        <v>43963</v>
      </c>
      <c r="B208" s="3" t="s">
        <v>14</v>
      </c>
      <c r="C208" s="3">
        <v>129</v>
      </c>
      <c r="D208" s="3">
        <v>16387</v>
      </c>
      <c r="E208" s="3">
        <v>15322</v>
      </c>
    </row>
    <row r="209" spans="1:5" ht="14.25" customHeight="1" x14ac:dyDescent="0.45">
      <c r="A209" s="6">
        <v>43963</v>
      </c>
      <c r="B209" s="3" t="s">
        <v>12</v>
      </c>
      <c r="C209" s="3">
        <v>10</v>
      </c>
      <c r="D209" s="3">
        <v>526</v>
      </c>
      <c r="E209" s="3">
        <v>448</v>
      </c>
    </row>
    <row r="210" spans="1:5" ht="14.25" customHeight="1" x14ac:dyDescent="0.45">
      <c r="A210" s="6">
        <v>43964</v>
      </c>
      <c r="B210" s="3" t="s">
        <v>16</v>
      </c>
      <c r="C210" s="3">
        <v>36</v>
      </c>
      <c r="D210" s="3">
        <v>4967</v>
      </c>
      <c r="E210" s="3">
        <v>4583</v>
      </c>
    </row>
    <row r="211" spans="1:5" ht="14.25" customHeight="1" x14ac:dyDescent="0.45">
      <c r="A211" s="6">
        <v>43964</v>
      </c>
      <c r="B211" s="3" t="s">
        <v>11</v>
      </c>
      <c r="C211" s="3">
        <v>31</v>
      </c>
      <c r="D211" s="3">
        <v>5251</v>
      </c>
      <c r="E211" s="3">
        <v>4853</v>
      </c>
    </row>
    <row r="212" spans="1:5" ht="14.25" customHeight="1" x14ac:dyDescent="0.45">
      <c r="A212" s="6">
        <v>43964</v>
      </c>
      <c r="B212" s="3" t="s">
        <v>17</v>
      </c>
      <c r="C212" s="3">
        <v>21</v>
      </c>
      <c r="D212" s="3">
        <v>2061</v>
      </c>
      <c r="E212" s="3">
        <v>1876</v>
      </c>
    </row>
    <row r="213" spans="1:5" ht="14.25" customHeight="1" x14ac:dyDescent="0.45">
      <c r="A213" s="6">
        <v>43964</v>
      </c>
      <c r="B213" s="3" t="s">
        <v>10</v>
      </c>
      <c r="C213" s="3">
        <v>21</v>
      </c>
      <c r="D213" s="3">
        <v>1698</v>
      </c>
      <c r="E213" s="3">
        <v>1554</v>
      </c>
    </row>
    <row r="214" spans="1:5" ht="14.25" customHeight="1" x14ac:dyDescent="0.45">
      <c r="A214" s="6">
        <v>43964</v>
      </c>
      <c r="B214" s="3" t="s">
        <v>20</v>
      </c>
      <c r="C214" s="3">
        <v>19</v>
      </c>
      <c r="D214" s="3">
        <v>1605</v>
      </c>
      <c r="E214" s="3">
        <v>1447</v>
      </c>
    </row>
    <row r="215" spans="1:5" ht="14.25" customHeight="1" x14ac:dyDescent="0.45">
      <c r="A215" s="6">
        <v>43964</v>
      </c>
      <c r="B215" s="3" t="s">
        <v>22</v>
      </c>
      <c r="C215" s="3">
        <v>54</v>
      </c>
      <c r="D215" s="3">
        <v>11522</v>
      </c>
      <c r="E215" s="3">
        <v>10803</v>
      </c>
    </row>
    <row r="216" spans="1:5" ht="14.25" customHeight="1" x14ac:dyDescent="0.45">
      <c r="A216" s="6">
        <v>43964</v>
      </c>
      <c r="B216" s="3" t="s">
        <v>21</v>
      </c>
      <c r="C216" s="3">
        <v>60</v>
      </c>
      <c r="D216" s="3">
        <v>12007</v>
      </c>
      <c r="E216" s="3">
        <v>11245</v>
      </c>
    </row>
    <row r="217" spans="1:5" ht="14.25" customHeight="1" x14ac:dyDescent="0.45">
      <c r="A217" s="6">
        <v>43964</v>
      </c>
      <c r="B217" s="3" t="s">
        <v>13</v>
      </c>
      <c r="C217" s="3">
        <v>19</v>
      </c>
      <c r="D217" s="3">
        <v>1625</v>
      </c>
      <c r="E217" s="3">
        <v>1444</v>
      </c>
    </row>
    <row r="218" spans="1:5" ht="14.25" customHeight="1" x14ac:dyDescent="0.45">
      <c r="A218" s="6">
        <v>43964</v>
      </c>
      <c r="B218" s="3" t="s">
        <v>23</v>
      </c>
      <c r="C218" s="3">
        <v>15</v>
      </c>
      <c r="D218" s="3">
        <v>854</v>
      </c>
      <c r="E218" s="3">
        <v>756</v>
      </c>
    </row>
    <row r="219" spans="1:5" ht="14.25" customHeight="1" x14ac:dyDescent="0.45">
      <c r="A219" s="6">
        <v>43964</v>
      </c>
      <c r="B219" s="3" t="s">
        <v>18</v>
      </c>
      <c r="C219" s="3">
        <v>15</v>
      </c>
      <c r="D219" s="3">
        <v>898</v>
      </c>
      <c r="E219" s="3">
        <v>795</v>
      </c>
    </row>
    <row r="220" spans="1:5" ht="14.25" customHeight="1" x14ac:dyDescent="0.45">
      <c r="A220" s="6">
        <v>43964</v>
      </c>
      <c r="B220" s="3" t="s">
        <v>19</v>
      </c>
      <c r="C220" s="3">
        <v>15</v>
      </c>
      <c r="D220" s="3">
        <v>599</v>
      </c>
      <c r="E220" s="3">
        <v>515</v>
      </c>
    </row>
    <row r="221" spans="1:5" ht="14.25" customHeight="1" x14ac:dyDescent="0.45">
      <c r="A221" s="6">
        <v>43964</v>
      </c>
      <c r="B221" s="3" t="s">
        <v>15</v>
      </c>
      <c r="C221" s="3">
        <v>125</v>
      </c>
      <c r="D221" s="3">
        <v>19965</v>
      </c>
      <c r="E221" s="3">
        <v>18573</v>
      </c>
    </row>
    <row r="222" spans="1:5" ht="14.25" customHeight="1" x14ac:dyDescent="0.45">
      <c r="A222" s="6">
        <v>43964</v>
      </c>
      <c r="B222" s="3" t="s">
        <v>14</v>
      </c>
      <c r="C222" s="3">
        <v>129</v>
      </c>
      <c r="D222" s="3">
        <v>15304</v>
      </c>
      <c r="E222" s="3">
        <v>14315</v>
      </c>
    </row>
    <row r="223" spans="1:5" ht="14.25" customHeight="1" x14ac:dyDescent="0.45">
      <c r="A223" s="6">
        <v>43964</v>
      </c>
      <c r="B223" s="3" t="s">
        <v>12</v>
      </c>
      <c r="C223" s="3">
        <v>10</v>
      </c>
      <c r="D223" s="3">
        <v>612</v>
      </c>
      <c r="E223" s="3">
        <v>530</v>
      </c>
    </row>
    <row r="224" spans="1:5" ht="14.25" customHeight="1" x14ac:dyDescent="0.45">
      <c r="A224" s="6">
        <v>43965</v>
      </c>
      <c r="B224" s="3" t="s">
        <v>16</v>
      </c>
      <c r="C224" s="3">
        <v>36</v>
      </c>
      <c r="D224" s="3">
        <v>4285</v>
      </c>
      <c r="E224" s="3">
        <v>3950</v>
      </c>
    </row>
    <row r="225" spans="1:5" ht="14.25" customHeight="1" x14ac:dyDescent="0.45">
      <c r="A225" s="6">
        <v>43965</v>
      </c>
      <c r="B225" s="3" t="s">
        <v>11</v>
      </c>
      <c r="C225" s="3">
        <v>31</v>
      </c>
      <c r="D225" s="3">
        <v>4695</v>
      </c>
      <c r="E225" s="3">
        <v>4372</v>
      </c>
    </row>
    <row r="226" spans="1:5" ht="14.25" customHeight="1" x14ac:dyDescent="0.45">
      <c r="A226" s="6">
        <v>43965</v>
      </c>
      <c r="B226" s="3" t="s">
        <v>17</v>
      </c>
      <c r="C226" s="3">
        <v>21</v>
      </c>
      <c r="D226" s="3">
        <v>1993</v>
      </c>
      <c r="E226" s="3">
        <v>1796</v>
      </c>
    </row>
    <row r="227" spans="1:5" ht="14.25" customHeight="1" x14ac:dyDescent="0.45">
      <c r="A227" s="6">
        <v>43965</v>
      </c>
      <c r="B227" s="3" t="s">
        <v>10</v>
      </c>
      <c r="C227" s="3">
        <v>21</v>
      </c>
      <c r="D227" s="3">
        <v>1706</v>
      </c>
      <c r="E227" s="3">
        <v>1548</v>
      </c>
    </row>
    <row r="228" spans="1:5" ht="14.25" customHeight="1" x14ac:dyDescent="0.45">
      <c r="A228" s="6">
        <v>43965</v>
      </c>
      <c r="B228" s="3" t="s">
        <v>20</v>
      </c>
      <c r="C228" s="3">
        <v>19</v>
      </c>
      <c r="D228" s="3">
        <v>1635</v>
      </c>
      <c r="E228" s="3">
        <v>1487</v>
      </c>
    </row>
    <row r="229" spans="1:5" ht="14.25" customHeight="1" x14ac:dyDescent="0.45">
      <c r="A229" s="6">
        <v>43965</v>
      </c>
      <c r="B229" s="3" t="s">
        <v>22</v>
      </c>
      <c r="C229" s="3">
        <v>54</v>
      </c>
      <c r="D229" s="3">
        <v>11194</v>
      </c>
      <c r="E229" s="3">
        <v>10554</v>
      </c>
    </row>
    <row r="230" spans="1:5" ht="14.25" customHeight="1" x14ac:dyDescent="0.45">
      <c r="A230" s="6">
        <v>43965</v>
      </c>
      <c r="B230" s="3" t="s">
        <v>21</v>
      </c>
      <c r="C230" s="3">
        <v>60</v>
      </c>
      <c r="D230" s="3">
        <v>11935</v>
      </c>
      <c r="E230" s="3">
        <v>11178</v>
      </c>
    </row>
    <row r="231" spans="1:5" ht="14.25" customHeight="1" x14ac:dyDescent="0.45">
      <c r="A231" s="6">
        <v>43965</v>
      </c>
      <c r="B231" s="3" t="s">
        <v>13</v>
      </c>
      <c r="C231" s="3">
        <v>19</v>
      </c>
      <c r="D231" s="3">
        <v>1675</v>
      </c>
      <c r="E231" s="3">
        <v>1475</v>
      </c>
    </row>
    <row r="232" spans="1:5" ht="14.25" customHeight="1" x14ac:dyDescent="0.45">
      <c r="A232" s="6">
        <v>43965</v>
      </c>
      <c r="B232" s="3" t="s">
        <v>23</v>
      </c>
      <c r="C232" s="3">
        <v>16</v>
      </c>
      <c r="D232" s="3">
        <v>834</v>
      </c>
      <c r="E232" s="3">
        <v>735</v>
      </c>
    </row>
    <row r="233" spans="1:5" ht="14.25" customHeight="1" x14ac:dyDescent="0.45">
      <c r="A233" s="6">
        <v>43965</v>
      </c>
      <c r="B233" s="3" t="s">
        <v>18</v>
      </c>
      <c r="C233" s="3">
        <v>15</v>
      </c>
      <c r="D233" s="3">
        <v>890</v>
      </c>
      <c r="E233" s="3">
        <v>777</v>
      </c>
    </row>
    <row r="234" spans="1:5" ht="14.25" customHeight="1" x14ac:dyDescent="0.45">
      <c r="A234" s="6">
        <v>43965</v>
      </c>
      <c r="B234" s="3" t="s">
        <v>19</v>
      </c>
      <c r="C234" s="3">
        <v>15</v>
      </c>
      <c r="D234" s="3">
        <v>638</v>
      </c>
      <c r="E234" s="3">
        <v>548</v>
      </c>
    </row>
    <row r="235" spans="1:5" ht="14.25" customHeight="1" x14ac:dyDescent="0.45">
      <c r="A235" s="6">
        <v>43965</v>
      </c>
      <c r="B235" s="3" t="s">
        <v>15</v>
      </c>
      <c r="C235" s="3">
        <v>125</v>
      </c>
      <c r="D235" s="3">
        <v>20247</v>
      </c>
      <c r="E235" s="3">
        <v>18812</v>
      </c>
    </row>
    <row r="236" spans="1:5" ht="14.25" customHeight="1" x14ac:dyDescent="0.45">
      <c r="A236" s="6">
        <v>43965</v>
      </c>
      <c r="B236" s="3" t="s">
        <v>14</v>
      </c>
      <c r="C236" s="3">
        <v>129</v>
      </c>
      <c r="D236" s="3">
        <v>15804</v>
      </c>
      <c r="E236" s="3">
        <v>14738</v>
      </c>
    </row>
    <row r="237" spans="1:5" ht="14.25" customHeight="1" x14ac:dyDescent="0.45">
      <c r="A237" s="6">
        <v>43965</v>
      </c>
      <c r="B237" s="3" t="s">
        <v>12</v>
      </c>
      <c r="C237" s="3">
        <v>10</v>
      </c>
      <c r="D237" s="3">
        <v>627</v>
      </c>
      <c r="E237" s="3">
        <v>545</v>
      </c>
    </row>
    <row r="238" spans="1:5" ht="14.25" customHeight="1" x14ac:dyDescent="0.45">
      <c r="A238" s="6">
        <v>43966</v>
      </c>
      <c r="B238" s="3" t="s">
        <v>16</v>
      </c>
      <c r="C238" s="3">
        <v>36</v>
      </c>
      <c r="D238" s="3">
        <v>4862</v>
      </c>
      <c r="E238" s="3">
        <v>4476</v>
      </c>
    </row>
    <row r="239" spans="1:5" ht="14.25" customHeight="1" x14ac:dyDescent="0.45">
      <c r="A239" s="6">
        <v>43966</v>
      </c>
      <c r="B239" s="3" t="s">
        <v>11</v>
      </c>
      <c r="C239" s="3">
        <v>31</v>
      </c>
      <c r="D239" s="3">
        <v>5184</v>
      </c>
      <c r="E239" s="3">
        <v>4778</v>
      </c>
    </row>
    <row r="240" spans="1:5" ht="14.25" customHeight="1" x14ac:dyDescent="0.45">
      <c r="A240" s="6">
        <v>43966</v>
      </c>
      <c r="B240" s="3" t="s">
        <v>17</v>
      </c>
      <c r="C240" s="3">
        <v>21</v>
      </c>
      <c r="D240" s="3">
        <v>2255</v>
      </c>
      <c r="E240" s="3">
        <v>2045</v>
      </c>
    </row>
    <row r="241" spans="1:5" ht="14.25" customHeight="1" x14ac:dyDescent="0.45">
      <c r="A241" s="6">
        <v>43966</v>
      </c>
      <c r="B241" s="3" t="s">
        <v>10</v>
      </c>
      <c r="C241" s="3">
        <v>21</v>
      </c>
      <c r="D241" s="3">
        <v>1926</v>
      </c>
      <c r="E241" s="3">
        <v>1742</v>
      </c>
    </row>
    <row r="242" spans="1:5" ht="14.25" customHeight="1" x14ac:dyDescent="0.45">
      <c r="A242" s="6">
        <v>43966</v>
      </c>
      <c r="B242" s="3" t="s">
        <v>20</v>
      </c>
      <c r="C242" s="3">
        <v>19</v>
      </c>
      <c r="D242" s="3">
        <v>1780</v>
      </c>
      <c r="E242" s="3">
        <v>1615</v>
      </c>
    </row>
    <row r="243" spans="1:5" ht="14.25" customHeight="1" x14ac:dyDescent="0.45">
      <c r="A243" s="6">
        <v>43966</v>
      </c>
      <c r="B243" s="3" t="s">
        <v>22</v>
      </c>
      <c r="C243" s="3">
        <v>54</v>
      </c>
      <c r="D243" s="3">
        <v>12791</v>
      </c>
      <c r="E243" s="3">
        <v>11950</v>
      </c>
    </row>
    <row r="244" spans="1:5" ht="14.25" customHeight="1" x14ac:dyDescent="0.45">
      <c r="A244" s="6">
        <v>43966</v>
      </c>
      <c r="B244" s="3" t="s">
        <v>21</v>
      </c>
      <c r="C244" s="3">
        <v>60</v>
      </c>
      <c r="D244" s="3">
        <v>13544</v>
      </c>
      <c r="E244" s="3">
        <v>12643</v>
      </c>
    </row>
    <row r="245" spans="1:5" ht="14.25" customHeight="1" x14ac:dyDescent="0.45">
      <c r="A245" s="6">
        <v>43966</v>
      </c>
      <c r="B245" s="3" t="s">
        <v>13</v>
      </c>
      <c r="C245" s="3">
        <v>19</v>
      </c>
      <c r="D245" s="3">
        <v>1940</v>
      </c>
      <c r="E245" s="3">
        <v>1715</v>
      </c>
    </row>
    <row r="246" spans="1:5" ht="14.25" customHeight="1" x14ac:dyDescent="0.45">
      <c r="A246" s="6">
        <v>43966</v>
      </c>
      <c r="B246" s="3" t="s">
        <v>23</v>
      </c>
      <c r="C246" s="3">
        <v>16</v>
      </c>
      <c r="D246" s="3">
        <v>817</v>
      </c>
      <c r="E246" s="3">
        <v>718</v>
      </c>
    </row>
    <row r="247" spans="1:5" ht="14.25" customHeight="1" x14ac:dyDescent="0.45">
      <c r="A247" s="6">
        <v>43966</v>
      </c>
      <c r="B247" s="3" t="s">
        <v>18</v>
      </c>
      <c r="C247" s="3">
        <v>15</v>
      </c>
      <c r="D247" s="3">
        <v>980</v>
      </c>
      <c r="E247" s="3">
        <v>867</v>
      </c>
    </row>
    <row r="248" spans="1:5" ht="14.25" customHeight="1" x14ac:dyDescent="0.45">
      <c r="A248" s="6">
        <v>43966</v>
      </c>
      <c r="B248" s="3" t="s">
        <v>19</v>
      </c>
      <c r="C248" s="3">
        <v>15</v>
      </c>
      <c r="D248" s="3">
        <v>688</v>
      </c>
      <c r="E248" s="3">
        <v>598</v>
      </c>
    </row>
    <row r="249" spans="1:5" ht="14.25" customHeight="1" x14ac:dyDescent="0.45">
      <c r="A249" s="6">
        <v>43966</v>
      </c>
      <c r="B249" s="3" t="s">
        <v>15</v>
      </c>
      <c r="C249" s="3">
        <v>125</v>
      </c>
      <c r="D249" s="3">
        <v>21862</v>
      </c>
      <c r="E249" s="3">
        <v>20235</v>
      </c>
    </row>
    <row r="250" spans="1:5" ht="14.25" customHeight="1" x14ac:dyDescent="0.45">
      <c r="A250" s="6">
        <v>43966</v>
      </c>
      <c r="B250" s="3" t="s">
        <v>14</v>
      </c>
      <c r="C250" s="3">
        <v>129</v>
      </c>
      <c r="D250" s="3">
        <v>17808</v>
      </c>
      <c r="E250" s="3">
        <v>16486</v>
      </c>
    </row>
    <row r="251" spans="1:5" ht="14.25" customHeight="1" x14ac:dyDescent="0.45">
      <c r="A251" s="6">
        <v>43966</v>
      </c>
      <c r="B251" s="3" t="s">
        <v>12</v>
      </c>
      <c r="C251" s="3">
        <v>10</v>
      </c>
      <c r="D251" s="3">
        <v>743</v>
      </c>
      <c r="E251" s="3">
        <v>652</v>
      </c>
    </row>
    <row r="252" spans="1:5" ht="14.25" customHeight="1" x14ac:dyDescent="0.45">
      <c r="A252" s="6">
        <v>43967</v>
      </c>
      <c r="B252" s="3" t="s">
        <v>16</v>
      </c>
      <c r="C252" s="3">
        <v>36</v>
      </c>
      <c r="D252" s="3">
        <v>5286</v>
      </c>
      <c r="E252" s="3">
        <v>4867</v>
      </c>
    </row>
    <row r="253" spans="1:5" ht="14.25" customHeight="1" x14ac:dyDescent="0.45">
      <c r="A253" s="6">
        <v>43967</v>
      </c>
      <c r="B253" s="3" t="s">
        <v>11</v>
      </c>
      <c r="C253" s="3">
        <v>31</v>
      </c>
      <c r="D253" s="3">
        <v>5593</v>
      </c>
      <c r="E253" s="3">
        <v>5177</v>
      </c>
    </row>
    <row r="254" spans="1:5" ht="14.25" customHeight="1" x14ac:dyDescent="0.45">
      <c r="A254" s="6">
        <v>43967</v>
      </c>
      <c r="B254" s="3" t="s">
        <v>17</v>
      </c>
      <c r="C254" s="3">
        <v>21</v>
      </c>
      <c r="D254" s="3">
        <v>2427</v>
      </c>
      <c r="E254" s="3">
        <v>2213</v>
      </c>
    </row>
    <row r="255" spans="1:5" ht="14.25" customHeight="1" x14ac:dyDescent="0.45">
      <c r="A255" s="6">
        <v>43967</v>
      </c>
      <c r="B255" s="3" t="s">
        <v>10</v>
      </c>
      <c r="C255" s="3">
        <v>21</v>
      </c>
      <c r="D255" s="3">
        <v>2145</v>
      </c>
      <c r="E255" s="3">
        <v>1947</v>
      </c>
    </row>
    <row r="256" spans="1:5" ht="14.25" customHeight="1" x14ac:dyDescent="0.45">
      <c r="A256" s="6">
        <v>43967</v>
      </c>
      <c r="B256" s="3" t="s">
        <v>20</v>
      </c>
      <c r="C256" s="3">
        <v>19</v>
      </c>
      <c r="D256" s="3">
        <v>2039</v>
      </c>
      <c r="E256" s="3">
        <v>1868</v>
      </c>
    </row>
    <row r="257" spans="1:5" ht="14.25" customHeight="1" x14ac:dyDescent="0.45">
      <c r="A257" s="6">
        <v>43967</v>
      </c>
      <c r="B257" s="3" t="s">
        <v>22</v>
      </c>
      <c r="C257" s="3">
        <v>54</v>
      </c>
      <c r="D257" s="3">
        <v>13170</v>
      </c>
      <c r="E257" s="3">
        <v>12299</v>
      </c>
    </row>
    <row r="258" spans="1:5" ht="14.25" customHeight="1" x14ac:dyDescent="0.45">
      <c r="A258" s="6">
        <v>43967</v>
      </c>
      <c r="B258" s="3" t="s">
        <v>21</v>
      </c>
      <c r="C258" s="3">
        <v>60</v>
      </c>
      <c r="D258" s="3">
        <v>14049</v>
      </c>
      <c r="E258" s="3">
        <v>13118</v>
      </c>
    </row>
    <row r="259" spans="1:5" ht="14.25" customHeight="1" x14ac:dyDescent="0.45">
      <c r="A259" s="6">
        <v>43967</v>
      </c>
      <c r="B259" s="3" t="s">
        <v>13</v>
      </c>
      <c r="C259" s="3">
        <v>19</v>
      </c>
      <c r="D259" s="3">
        <v>2080</v>
      </c>
      <c r="E259" s="3">
        <v>1844</v>
      </c>
    </row>
    <row r="260" spans="1:5" ht="14.25" customHeight="1" x14ac:dyDescent="0.45">
      <c r="A260" s="6">
        <v>43967</v>
      </c>
      <c r="B260" s="3" t="s">
        <v>23</v>
      </c>
      <c r="C260" s="3">
        <v>16</v>
      </c>
      <c r="D260" s="3">
        <v>920</v>
      </c>
      <c r="E260" s="3">
        <v>818</v>
      </c>
    </row>
    <row r="261" spans="1:5" ht="14.25" customHeight="1" x14ac:dyDescent="0.45">
      <c r="A261" s="6">
        <v>43967</v>
      </c>
      <c r="B261" s="3" t="s">
        <v>18</v>
      </c>
      <c r="C261" s="3">
        <v>15</v>
      </c>
      <c r="D261" s="3">
        <v>1111</v>
      </c>
      <c r="E261" s="3">
        <v>992</v>
      </c>
    </row>
    <row r="262" spans="1:5" ht="14.25" customHeight="1" x14ac:dyDescent="0.45">
      <c r="A262" s="6">
        <v>43967</v>
      </c>
      <c r="B262" s="3" t="s">
        <v>19</v>
      </c>
      <c r="C262" s="3">
        <v>15</v>
      </c>
      <c r="D262" s="3">
        <v>747</v>
      </c>
      <c r="E262" s="3">
        <v>647</v>
      </c>
    </row>
    <row r="263" spans="1:5" ht="14.25" customHeight="1" x14ac:dyDescent="0.45">
      <c r="A263" s="6">
        <v>43967</v>
      </c>
      <c r="B263" s="3" t="s">
        <v>15</v>
      </c>
      <c r="C263" s="3">
        <v>125</v>
      </c>
      <c r="D263" s="3">
        <v>22291</v>
      </c>
      <c r="E263" s="3">
        <v>20635</v>
      </c>
    </row>
    <row r="264" spans="1:5" ht="14.25" customHeight="1" x14ac:dyDescent="0.45">
      <c r="A264" s="6">
        <v>43967</v>
      </c>
      <c r="B264" s="3" t="s">
        <v>14</v>
      </c>
      <c r="C264" s="3">
        <v>129</v>
      </c>
      <c r="D264" s="3">
        <v>17914</v>
      </c>
      <c r="E264" s="3">
        <v>16631</v>
      </c>
    </row>
    <row r="265" spans="1:5" ht="14.25" customHeight="1" x14ac:dyDescent="0.45">
      <c r="A265" s="6">
        <v>43967</v>
      </c>
      <c r="B265" s="3" t="s">
        <v>12</v>
      </c>
      <c r="C265" s="3">
        <v>10</v>
      </c>
      <c r="D265" s="3">
        <v>760</v>
      </c>
      <c r="E265" s="3">
        <v>672</v>
      </c>
    </row>
    <row r="266" spans="1:5" ht="14.25" customHeight="1" x14ac:dyDescent="0.45">
      <c r="A266" s="6">
        <v>43968</v>
      </c>
      <c r="B266" s="3" t="s">
        <v>16</v>
      </c>
      <c r="C266" s="3">
        <v>36</v>
      </c>
      <c r="D266" s="3">
        <v>4918</v>
      </c>
      <c r="E266" s="3">
        <v>4554</v>
      </c>
    </row>
    <row r="267" spans="1:5" ht="14.25" customHeight="1" x14ac:dyDescent="0.45">
      <c r="A267" s="6">
        <v>43968</v>
      </c>
      <c r="B267" s="3" t="s">
        <v>11</v>
      </c>
      <c r="C267" s="3">
        <v>31</v>
      </c>
      <c r="D267" s="3">
        <v>5206</v>
      </c>
      <c r="E267" s="3">
        <v>4843</v>
      </c>
    </row>
    <row r="268" spans="1:5" ht="14.25" customHeight="1" x14ac:dyDescent="0.45">
      <c r="A268" s="6">
        <v>43968</v>
      </c>
      <c r="B268" s="3" t="s">
        <v>17</v>
      </c>
      <c r="C268" s="3">
        <v>21</v>
      </c>
      <c r="D268" s="3">
        <v>2054</v>
      </c>
      <c r="E268" s="3">
        <v>1883</v>
      </c>
    </row>
    <row r="269" spans="1:5" ht="14.25" customHeight="1" x14ac:dyDescent="0.45">
      <c r="A269" s="6">
        <v>43968</v>
      </c>
      <c r="B269" s="3" t="s">
        <v>10</v>
      </c>
      <c r="C269" s="3">
        <v>21</v>
      </c>
      <c r="D269" s="3">
        <v>1874</v>
      </c>
      <c r="E269" s="3">
        <v>1705</v>
      </c>
    </row>
    <row r="270" spans="1:5" ht="14.25" customHeight="1" x14ac:dyDescent="0.45">
      <c r="A270" s="6">
        <v>43968</v>
      </c>
      <c r="B270" s="3" t="s">
        <v>20</v>
      </c>
      <c r="C270" s="3">
        <v>19</v>
      </c>
      <c r="D270" s="3">
        <v>1790</v>
      </c>
      <c r="E270" s="3">
        <v>1633</v>
      </c>
    </row>
    <row r="271" spans="1:5" ht="14.25" customHeight="1" x14ac:dyDescent="0.45">
      <c r="A271" s="6">
        <v>43968</v>
      </c>
      <c r="B271" s="3" t="s">
        <v>22</v>
      </c>
      <c r="C271" s="3">
        <v>54</v>
      </c>
      <c r="D271" s="3">
        <v>11128</v>
      </c>
      <c r="E271" s="3">
        <v>10467</v>
      </c>
    </row>
    <row r="272" spans="1:5" ht="14.25" customHeight="1" x14ac:dyDescent="0.45">
      <c r="A272" s="6">
        <v>43968</v>
      </c>
      <c r="B272" s="3" t="s">
        <v>21</v>
      </c>
      <c r="C272" s="3">
        <v>60</v>
      </c>
      <c r="D272" s="3">
        <v>11698</v>
      </c>
      <c r="E272" s="3">
        <v>10989</v>
      </c>
    </row>
    <row r="273" spans="1:5" ht="14.25" customHeight="1" x14ac:dyDescent="0.45">
      <c r="A273" s="6">
        <v>43968</v>
      </c>
      <c r="B273" s="3" t="s">
        <v>13</v>
      </c>
      <c r="C273" s="3">
        <v>19</v>
      </c>
      <c r="D273" s="3">
        <v>1871</v>
      </c>
      <c r="E273" s="3">
        <v>1660</v>
      </c>
    </row>
    <row r="274" spans="1:5" ht="14.25" customHeight="1" x14ac:dyDescent="0.45">
      <c r="A274" s="6">
        <v>43968</v>
      </c>
      <c r="B274" s="3" t="s">
        <v>23</v>
      </c>
      <c r="C274" s="3">
        <v>16</v>
      </c>
      <c r="D274" s="3">
        <v>859</v>
      </c>
      <c r="E274" s="3">
        <v>746</v>
      </c>
    </row>
    <row r="275" spans="1:5" ht="14.25" customHeight="1" x14ac:dyDescent="0.45">
      <c r="A275" s="6">
        <v>43968</v>
      </c>
      <c r="B275" s="3" t="s">
        <v>18</v>
      </c>
      <c r="C275" s="3">
        <v>15</v>
      </c>
      <c r="D275" s="3">
        <v>971</v>
      </c>
      <c r="E275" s="3">
        <v>856</v>
      </c>
    </row>
    <row r="276" spans="1:5" ht="14.25" customHeight="1" x14ac:dyDescent="0.45">
      <c r="A276" s="6">
        <v>43968</v>
      </c>
      <c r="B276" s="3" t="s">
        <v>19</v>
      </c>
      <c r="C276" s="3">
        <v>15</v>
      </c>
      <c r="D276" s="3">
        <v>692</v>
      </c>
      <c r="E276" s="3">
        <v>591</v>
      </c>
    </row>
    <row r="277" spans="1:5" ht="14.25" customHeight="1" x14ac:dyDescent="0.45">
      <c r="A277" s="6">
        <v>43968</v>
      </c>
      <c r="B277" s="3" t="s">
        <v>15</v>
      </c>
      <c r="C277" s="3">
        <v>125</v>
      </c>
      <c r="D277" s="3">
        <v>20079</v>
      </c>
      <c r="E277" s="3">
        <v>18721</v>
      </c>
    </row>
    <row r="278" spans="1:5" ht="14.25" customHeight="1" x14ac:dyDescent="0.45">
      <c r="A278" s="6">
        <v>43968</v>
      </c>
      <c r="B278" s="3" t="s">
        <v>14</v>
      </c>
      <c r="C278" s="3">
        <v>129</v>
      </c>
      <c r="D278" s="3">
        <v>15744</v>
      </c>
      <c r="E278" s="3">
        <v>14685</v>
      </c>
    </row>
    <row r="279" spans="1:5" ht="14.25" customHeight="1" x14ac:dyDescent="0.45">
      <c r="A279" s="6">
        <v>43968</v>
      </c>
      <c r="B279" s="3" t="s">
        <v>12</v>
      </c>
      <c r="C279" s="3">
        <v>10</v>
      </c>
      <c r="D279" s="3">
        <v>591</v>
      </c>
      <c r="E279" s="3">
        <v>513</v>
      </c>
    </row>
    <row r="280" spans="1:5" ht="14.25" customHeight="1" x14ac:dyDescent="0.45">
      <c r="A280" s="6">
        <v>43969</v>
      </c>
      <c r="B280" s="3" t="s">
        <v>16</v>
      </c>
      <c r="C280" s="3">
        <v>36</v>
      </c>
      <c r="D280" s="3">
        <v>4885</v>
      </c>
      <c r="E280" s="3">
        <v>4502</v>
      </c>
    </row>
    <row r="281" spans="1:5" ht="14.25" customHeight="1" x14ac:dyDescent="0.45">
      <c r="A281" s="6">
        <v>43969</v>
      </c>
      <c r="B281" s="3" t="s">
        <v>11</v>
      </c>
      <c r="C281" s="3">
        <v>31</v>
      </c>
      <c r="D281" s="3">
        <v>5165</v>
      </c>
      <c r="E281" s="3">
        <v>4813</v>
      </c>
    </row>
    <row r="282" spans="1:5" ht="14.25" customHeight="1" x14ac:dyDescent="0.45">
      <c r="A282" s="6">
        <v>43969</v>
      </c>
      <c r="B282" s="3" t="s">
        <v>17</v>
      </c>
      <c r="C282" s="3">
        <v>21</v>
      </c>
      <c r="D282" s="3">
        <v>2136</v>
      </c>
      <c r="E282" s="3">
        <v>1947</v>
      </c>
    </row>
    <row r="283" spans="1:5" ht="14.25" customHeight="1" x14ac:dyDescent="0.45">
      <c r="A283" s="6">
        <v>43969</v>
      </c>
      <c r="B283" s="3" t="s">
        <v>10</v>
      </c>
      <c r="C283" s="3">
        <v>21</v>
      </c>
      <c r="D283" s="3">
        <v>1834</v>
      </c>
      <c r="E283" s="3">
        <v>1660</v>
      </c>
    </row>
    <row r="284" spans="1:5" ht="14.25" customHeight="1" x14ac:dyDescent="0.45">
      <c r="A284" s="6">
        <v>43969</v>
      </c>
      <c r="B284" s="3" t="s">
        <v>20</v>
      </c>
      <c r="C284" s="3">
        <v>19</v>
      </c>
      <c r="D284" s="3">
        <v>1741</v>
      </c>
      <c r="E284" s="3">
        <v>1597</v>
      </c>
    </row>
    <row r="285" spans="1:5" ht="14.25" customHeight="1" x14ac:dyDescent="0.45">
      <c r="A285" s="6">
        <v>43969</v>
      </c>
      <c r="B285" s="3" t="s">
        <v>22</v>
      </c>
      <c r="C285" s="3">
        <v>54</v>
      </c>
      <c r="D285" s="3">
        <v>12012</v>
      </c>
      <c r="E285" s="3">
        <v>11308</v>
      </c>
    </row>
    <row r="286" spans="1:5" ht="14.25" customHeight="1" x14ac:dyDescent="0.45">
      <c r="A286" s="6">
        <v>43969</v>
      </c>
      <c r="B286" s="3" t="s">
        <v>21</v>
      </c>
      <c r="C286" s="3">
        <v>60</v>
      </c>
      <c r="D286" s="3">
        <v>12460</v>
      </c>
      <c r="E286" s="3">
        <v>11665</v>
      </c>
    </row>
    <row r="287" spans="1:5" ht="14.25" customHeight="1" x14ac:dyDescent="0.45">
      <c r="A287" s="6">
        <v>43969</v>
      </c>
      <c r="B287" s="3" t="s">
        <v>13</v>
      </c>
      <c r="C287" s="3">
        <v>19</v>
      </c>
      <c r="D287" s="3">
        <v>1858</v>
      </c>
      <c r="E287" s="3">
        <v>1648</v>
      </c>
    </row>
    <row r="288" spans="1:5" ht="14.25" customHeight="1" x14ac:dyDescent="0.45">
      <c r="A288" s="6">
        <v>43969</v>
      </c>
      <c r="B288" s="3" t="s">
        <v>23</v>
      </c>
      <c r="C288" s="3">
        <v>16</v>
      </c>
      <c r="D288" s="3">
        <v>864</v>
      </c>
      <c r="E288" s="3">
        <v>765</v>
      </c>
    </row>
    <row r="289" spans="1:5" ht="14.25" customHeight="1" x14ac:dyDescent="0.45">
      <c r="A289" s="6">
        <v>43969</v>
      </c>
      <c r="B289" s="3" t="s">
        <v>18</v>
      </c>
      <c r="C289" s="3">
        <v>16</v>
      </c>
      <c r="D289" s="3">
        <v>925</v>
      </c>
      <c r="E289" s="3">
        <v>816</v>
      </c>
    </row>
    <row r="290" spans="1:5" ht="14.25" customHeight="1" x14ac:dyDescent="0.45">
      <c r="A290" s="6">
        <v>43969</v>
      </c>
      <c r="B290" s="3" t="s">
        <v>19</v>
      </c>
      <c r="C290" s="3">
        <v>15</v>
      </c>
      <c r="D290" s="3">
        <v>729</v>
      </c>
      <c r="E290" s="3">
        <v>636</v>
      </c>
    </row>
    <row r="291" spans="1:5" ht="14.25" customHeight="1" x14ac:dyDescent="0.45">
      <c r="A291" s="6">
        <v>43969</v>
      </c>
      <c r="B291" s="3" t="s">
        <v>15</v>
      </c>
      <c r="C291" s="3">
        <v>125</v>
      </c>
      <c r="D291" s="3">
        <v>20449</v>
      </c>
      <c r="E291" s="3">
        <v>19060</v>
      </c>
    </row>
    <row r="292" spans="1:5" ht="14.25" customHeight="1" x14ac:dyDescent="0.45">
      <c r="A292" s="6">
        <v>43969</v>
      </c>
      <c r="B292" s="3" t="s">
        <v>14</v>
      </c>
      <c r="C292" s="3">
        <v>129</v>
      </c>
      <c r="D292" s="3">
        <v>16110</v>
      </c>
      <c r="E292" s="3">
        <v>14992</v>
      </c>
    </row>
    <row r="293" spans="1:5" ht="14.25" customHeight="1" x14ac:dyDescent="0.45">
      <c r="A293" s="6">
        <v>43969</v>
      </c>
      <c r="B293" s="3" t="s">
        <v>12</v>
      </c>
      <c r="C293" s="3">
        <v>10</v>
      </c>
      <c r="D293" s="3">
        <v>645</v>
      </c>
      <c r="E293" s="3">
        <v>565</v>
      </c>
    </row>
    <row r="294" spans="1:5" ht="14.25" customHeight="1" x14ac:dyDescent="0.45">
      <c r="A294" s="6">
        <v>43970</v>
      </c>
      <c r="B294" s="3" t="s">
        <v>16</v>
      </c>
      <c r="C294" s="3">
        <v>36</v>
      </c>
      <c r="D294" s="3">
        <v>5094</v>
      </c>
      <c r="E294" s="3">
        <v>4716</v>
      </c>
    </row>
    <row r="295" spans="1:5" ht="14.25" customHeight="1" x14ac:dyDescent="0.45">
      <c r="A295" s="6">
        <v>43970</v>
      </c>
      <c r="B295" s="3" t="s">
        <v>11</v>
      </c>
      <c r="C295" s="3">
        <v>31</v>
      </c>
      <c r="D295" s="3">
        <v>5389</v>
      </c>
      <c r="E295" s="3">
        <v>5024</v>
      </c>
    </row>
    <row r="296" spans="1:5" ht="14.25" customHeight="1" x14ac:dyDescent="0.45">
      <c r="A296" s="6">
        <v>43970</v>
      </c>
      <c r="B296" s="3" t="s">
        <v>17</v>
      </c>
      <c r="C296" s="3">
        <v>21</v>
      </c>
      <c r="D296" s="3">
        <v>2245</v>
      </c>
      <c r="E296" s="3">
        <v>2053</v>
      </c>
    </row>
    <row r="297" spans="1:5" ht="14.25" customHeight="1" x14ac:dyDescent="0.45">
      <c r="A297" s="6">
        <v>43970</v>
      </c>
      <c r="B297" s="3" t="s">
        <v>10</v>
      </c>
      <c r="C297" s="3">
        <v>21</v>
      </c>
      <c r="D297" s="3">
        <v>1860</v>
      </c>
      <c r="E297" s="3">
        <v>1704</v>
      </c>
    </row>
    <row r="298" spans="1:5" ht="14.25" customHeight="1" x14ac:dyDescent="0.45">
      <c r="A298" s="6">
        <v>43970</v>
      </c>
      <c r="B298" s="3" t="s">
        <v>20</v>
      </c>
      <c r="C298" s="3">
        <v>19</v>
      </c>
      <c r="D298" s="3">
        <v>1831</v>
      </c>
      <c r="E298" s="3">
        <v>1667</v>
      </c>
    </row>
    <row r="299" spans="1:5" ht="14.25" customHeight="1" x14ac:dyDescent="0.45">
      <c r="A299" s="6">
        <v>43970</v>
      </c>
      <c r="B299" s="3" t="s">
        <v>22</v>
      </c>
      <c r="C299" s="3">
        <v>54</v>
      </c>
      <c r="D299" s="3">
        <v>13070</v>
      </c>
      <c r="E299" s="3">
        <v>12244</v>
      </c>
    </row>
    <row r="300" spans="1:5" ht="14.25" customHeight="1" x14ac:dyDescent="0.45">
      <c r="A300" s="6">
        <v>43970</v>
      </c>
      <c r="B300" s="3" t="s">
        <v>21</v>
      </c>
      <c r="C300" s="3">
        <v>60</v>
      </c>
      <c r="D300" s="3">
        <v>13867</v>
      </c>
      <c r="E300" s="3">
        <v>12987</v>
      </c>
    </row>
    <row r="301" spans="1:5" ht="14.25" customHeight="1" x14ac:dyDescent="0.45">
      <c r="A301" s="6">
        <v>43970</v>
      </c>
      <c r="B301" s="3" t="s">
        <v>13</v>
      </c>
      <c r="C301" s="3">
        <v>19</v>
      </c>
      <c r="D301" s="3">
        <v>1999</v>
      </c>
      <c r="E301" s="3">
        <v>1799</v>
      </c>
    </row>
    <row r="302" spans="1:5" ht="14.25" customHeight="1" x14ac:dyDescent="0.45">
      <c r="A302" s="6">
        <v>43970</v>
      </c>
      <c r="B302" s="3" t="s">
        <v>23</v>
      </c>
      <c r="C302" s="3">
        <v>17</v>
      </c>
      <c r="D302" s="3">
        <v>857</v>
      </c>
      <c r="E302" s="3">
        <v>757</v>
      </c>
    </row>
    <row r="303" spans="1:5" ht="14.25" customHeight="1" x14ac:dyDescent="0.45">
      <c r="A303" s="6">
        <v>43970</v>
      </c>
      <c r="B303" s="3" t="s">
        <v>18</v>
      </c>
      <c r="C303" s="3">
        <v>16</v>
      </c>
      <c r="D303" s="3">
        <v>1012</v>
      </c>
      <c r="E303" s="3">
        <v>900</v>
      </c>
    </row>
    <row r="304" spans="1:5" ht="14.25" customHeight="1" x14ac:dyDescent="0.45">
      <c r="A304" s="6">
        <v>43970</v>
      </c>
      <c r="B304" s="3" t="s">
        <v>19</v>
      </c>
      <c r="C304" s="3">
        <v>15</v>
      </c>
      <c r="D304" s="3">
        <v>930</v>
      </c>
      <c r="E304" s="3">
        <v>827</v>
      </c>
    </row>
    <row r="305" spans="1:5" ht="14.25" customHeight="1" x14ac:dyDescent="0.45">
      <c r="A305" s="6">
        <v>43970</v>
      </c>
      <c r="B305" s="3" t="s">
        <v>15</v>
      </c>
      <c r="C305" s="3">
        <v>125</v>
      </c>
      <c r="D305" s="3">
        <v>20771</v>
      </c>
      <c r="E305" s="3">
        <v>19338</v>
      </c>
    </row>
    <row r="306" spans="1:5" ht="14.25" customHeight="1" x14ac:dyDescent="0.45">
      <c r="A306" s="6">
        <v>43970</v>
      </c>
      <c r="B306" s="3" t="s">
        <v>14</v>
      </c>
      <c r="C306" s="3">
        <v>129</v>
      </c>
      <c r="D306" s="3">
        <v>16191</v>
      </c>
      <c r="E306" s="3">
        <v>15102</v>
      </c>
    </row>
    <row r="307" spans="1:5" ht="14.25" customHeight="1" x14ac:dyDescent="0.45">
      <c r="A307" s="6">
        <v>43970</v>
      </c>
      <c r="B307" s="3" t="s">
        <v>12</v>
      </c>
      <c r="C307" s="3">
        <v>10</v>
      </c>
      <c r="D307" s="3">
        <v>649</v>
      </c>
      <c r="E307" s="3">
        <v>568</v>
      </c>
    </row>
    <row r="308" spans="1:5" ht="14.25" customHeight="1" x14ac:dyDescent="0.45">
      <c r="A308" s="6">
        <v>43971</v>
      </c>
      <c r="B308" s="3" t="s">
        <v>16</v>
      </c>
      <c r="C308" s="3">
        <v>36</v>
      </c>
      <c r="D308" s="3">
        <v>5914</v>
      </c>
      <c r="E308" s="3">
        <v>5384</v>
      </c>
    </row>
    <row r="309" spans="1:5" ht="14.25" customHeight="1" x14ac:dyDescent="0.45">
      <c r="A309" s="6">
        <v>43971</v>
      </c>
      <c r="B309" s="3" t="s">
        <v>11</v>
      </c>
      <c r="C309" s="3">
        <v>31</v>
      </c>
      <c r="D309" s="3">
        <v>5698</v>
      </c>
      <c r="E309" s="3">
        <v>5258</v>
      </c>
    </row>
    <row r="310" spans="1:5" ht="14.25" customHeight="1" x14ac:dyDescent="0.45">
      <c r="A310" s="6">
        <v>43971</v>
      </c>
      <c r="B310" s="3" t="s">
        <v>17</v>
      </c>
      <c r="C310" s="3">
        <v>21</v>
      </c>
      <c r="D310" s="3">
        <v>2410</v>
      </c>
      <c r="E310" s="3">
        <v>2202</v>
      </c>
    </row>
    <row r="311" spans="1:5" ht="14.25" customHeight="1" x14ac:dyDescent="0.45">
      <c r="A311" s="6">
        <v>43971</v>
      </c>
      <c r="B311" s="3" t="s">
        <v>10</v>
      </c>
      <c r="C311" s="3">
        <v>21</v>
      </c>
      <c r="D311" s="3">
        <v>1921</v>
      </c>
      <c r="E311" s="3">
        <v>1767</v>
      </c>
    </row>
    <row r="312" spans="1:5" ht="14.25" customHeight="1" x14ac:dyDescent="0.45">
      <c r="A312" s="6">
        <v>43971</v>
      </c>
      <c r="B312" s="3" t="s">
        <v>20</v>
      </c>
      <c r="C312" s="3">
        <v>19</v>
      </c>
      <c r="D312" s="3">
        <v>1823</v>
      </c>
      <c r="E312" s="3">
        <v>1678</v>
      </c>
    </row>
    <row r="313" spans="1:5" ht="14.25" customHeight="1" x14ac:dyDescent="0.45">
      <c r="A313" s="6">
        <v>43971</v>
      </c>
      <c r="B313" s="3" t="s">
        <v>22</v>
      </c>
      <c r="C313" s="3">
        <v>54</v>
      </c>
      <c r="D313" s="3">
        <v>13298</v>
      </c>
      <c r="E313" s="3">
        <v>12428</v>
      </c>
    </row>
    <row r="314" spans="1:5" ht="14.25" customHeight="1" x14ac:dyDescent="0.45">
      <c r="A314" s="6">
        <v>43971</v>
      </c>
      <c r="B314" s="3" t="s">
        <v>21</v>
      </c>
      <c r="C314" s="3">
        <v>60</v>
      </c>
      <c r="D314" s="3">
        <v>13792</v>
      </c>
      <c r="E314" s="3">
        <v>12834</v>
      </c>
    </row>
    <row r="315" spans="1:5" ht="14.25" customHeight="1" x14ac:dyDescent="0.45">
      <c r="A315" s="6">
        <v>43971</v>
      </c>
      <c r="B315" s="3" t="s">
        <v>13</v>
      </c>
      <c r="C315" s="3">
        <v>19</v>
      </c>
      <c r="D315" s="3">
        <v>1889</v>
      </c>
      <c r="E315" s="3">
        <v>1690</v>
      </c>
    </row>
    <row r="316" spans="1:5" ht="14.25" customHeight="1" x14ac:dyDescent="0.45">
      <c r="A316" s="6">
        <v>43971</v>
      </c>
      <c r="B316" s="3" t="s">
        <v>23</v>
      </c>
      <c r="C316" s="3">
        <v>17</v>
      </c>
      <c r="D316" s="3">
        <v>890</v>
      </c>
      <c r="E316" s="3">
        <v>794</v>
      </c>
    </row>
    <row r="317" spans="1:5" ht="14.25" customHeight="1" x14ac:dyDescent="0.45">
      <c r="A317" s="6">
        <v>43971</v>
      </c>
      <c r="B317" s="3" t="s">
        <v>18</v>
      </c>
      <c r="C317" s="3">
        <v>16</v>
      </c>
      <c r="D317" s="3">
        <v>1050</v>
      </c>
      <c r="E317" s="3">
        <v>938</v>
      </c>
    </row>
    <row r="318" spans="1:5" ht="14.25" customHeight="1" x14ac:dyDescent="0.45">
      <c r="A318" s="6">
        <v>43971</v>
      </c>
      <c r="B318" s="3" t="s">
        <v>19</v>
      </c>
      <c r="C318" s="3">
        <v>15</v>
      </c>
      <c r="D318" s="3">
        <v>760</v>
      </c>
      <c r="E318" s="3">
        <v>664</v>
      </c>
    </row>
    <row r="319" spans="1:5" ht="14.25" customHeight="1" x14ac:dyDescent="0.45">
      <c r="A319" s="6">
        <v>43971</v>
      </c>
      <c r="B319" s="3" t="s">
        <v>15</v>
      </c>
      <c r="C319" s="3">
        <v>125</v>
      </c>
      <c r="D319" s="3">
        <v>21674</v>
      </c>
      <c r="E319" s="3">
        <v>20155</v>
      </c>
    </row>
    <row r="320" spans="1:5" ht="14.25" customHeight="1" x14ac:dyDescent="0.45">
      <c r="A320" s="6">
        <v>43971</v>
      </c>
      <c r="B320" s="3" t="s">
        <v>14</v>
      </c>
      <c r="C320" s="3">
        <v>129</v>
      </c>
      <c r="D320" s="3">
        <v>17095</v>
      </c>
      <c r="E320" s="3">
        <v>15919</v>
      </c>
    </row>
    <row r="321" spans="1:5" ht="14.25" customHeight="1" x14ac:dyDescent="0.45">
      <c r="A321" s="6">
        <v>43971</v>
      </c>
      <c r="B321" s="3" t="s">
        <v>12</v>
      </c>
      <c r="C321" s="3">
        <v>10</v>
      </c>
      <c r="D321" s="3">
        <v>745</v>
      </c>
      <c r="E321" s="3">
        <v>654</v>
      </c>
    </row>
    <row r="322" spans="1:5" ht="14.25" customHeight="1" x14ac:dyDescent="0.45">
      <c r="A322" s="6">
        <v>43972</v>
      </c>
      <c r="B322" s="3" t="s">
        <v>16</v>
      </c>
      <c r="C322" s="3">
        <v>36</v>
      </c>
      <c r="D322" s="3">
        <v>4816</v>
      </c>
      <c r="E322" s="3">
        <v>4452</v>
      </c>
    </row>
    <row r="323" spans="1:5" ht="14.25" customHeight="1" x14ac:dyDescent="0.45">
      <c r="A323" s="6">
        <v>43972</v>
      </c>
      <c r="B323" s="3" t="s">
        <v>11</v>
      </c>
      <c r="C323" s="3">
        <v>31</v>
      </c>
      <c r="D323" s="3">
        <v>5207</v>
      </c>
      <c r="E323" s="3">
        <v>4868</v>
      </c>
    </row>
    <row r="324" spans="1:5" ht="14.25" customHeight="1" x14ac:dyDescent="0.45">
      <c r="A324" s="6">
        <v>43972</v>
      </c>
      <c r="B324" s="3" t="s">
        <v>17</v>
      </c>
      <c r="C324" s="3">
        <v>21</v>
      </c>
      <c r="D324" s="3">
        <v>2335</v>
      </c>
      <c r="E324" s="3">
        <v>2126</v>
      </c>
    </row>
    <row r="325" spans="1:5" ht="14.25" customHeight="1" x14ac:dyDescent="0.45">
      <c r="A325" s="6">
        <v>43972</v>
      </c>
      <c r="B325" s="3" t="s">
        <v>10</v>
      </c>
      <c r="C325" s="3">
        <v>21</v>
      </c>
      <c r="D325" s="3">
        <v>1787</v>
      </c>
      <c r="E325" s="3">
        <v>1626</v>
      </c>
    </row>
    <row r="326" spans="1:5" ht="14.25" customHeight="1" x14ac:dyDescent="0.45">
      <c r="A326" s="6">
        <v>43972</v>
      </c>
      <c r="B326" s="3" t="s">
        <v>20</v>
      </c>
      <c r="C326" s="3">
        <v>19</v>
      </c>
      <c r="D326" s="3">
        <v>1650</v>
      </c>
      <c r="E326" s="3">
        <v>1505</v>
      </c>
    </row>
    <row r="327" spans="1:5" ht="14.25" customHeight="1" x14ac:dyDescent="0.45">
      <c r="A327" s="6">
        <v>43972</v>
      </c>
      <c r="B327" s="3" t="s">
        <v>22</v>
      </c>
      <c r="C327" s="3">
        <v>54</v>
      </c>
      <c r="D327" s="3">
        <v>13240</v>
      </c>
      <c r="E327" s="3">
        <v>12360</v>
      </c>
    </row>
    <row r="328" spans="1:5" ht="14.25" customHeight="1" x14ac:dyDescent="0.45">
      <c r="A328" s="6">
        <v>43972</v>
      </c>
      <c r="B328" s="3" t="s">
        <v>21</v>
      </c>
      <c r="C328" s="3">
        <v>60</v>
      </c>
      <c r="D328" s="3">
        <v>14005</v>
      </c>
      <c r="E328" s="3">
        <v>13002</v>
      </c>
    </row>
    <row r="329" spans="1:5" ht="14.25" customHeight="1" x14ac:dyDescent="0.45">
      <c r="A329" s="6">
        <v>43972</v>
      </c>
      <c r="B329" s="3" t="s">
        <v>13</v>
      </c>
      <c r="C329" s="3">
        <v>19</v>
      </c>
      <c r="D329" s="3">
        <v>1949</v>
      </c>
      <c r="E329" s="3">
        <v>1724</v>
      </c>
    </row>
    <row r="330" spans="1:5" ht="14.25" customHeight="1" x14ac:dyDescent="0.45">
      <c r="A330" s="6">
        <v>43972</v>
      </c>
      <c r="B330" s="3" t="s">
        <v>23</v>
      </c>
      <c r="C330" s="3">
        <v>18</v>
      </c>
      <c r="D330" s="3">
        <v>888</v>
      </c>
      <c r="E330" s="3">
        <v>786</v>
      </c>
    </row>
    <row r="331" spans="1:5" ht="14.25" customHeight="1" x14ac:dyDescent="0.45">
      <c r="A331" s="6">
        <v>43972</v>
      </c>
      <c r="B331" s="3" t="s">
        <v>18</v>
      </c>
      <c r="C331" s="3">
        <v>17</v>
      </c>
      <c r="D331" s="3">
        <v>1045</v>
      </c>
      <c r="E331" s="3">
        <v>930</v>
      </c>
    </row>
    <row r="332" spans="1:5" ht="14.25" customHeight="1" x14ac:dyDescent="0.45">
      <c r="A332" s="6">
        <v>43972</v>
      </c>
      <c r="B332" s="3" t="s">
        <v>19</v>
      </c>
      <c r="C332" s="3">
        <v>15</v>
      </c>
      <c r="D332" s="3">
        <v>749</v>
      </c>
      <c r="E332" s="3">
        <v>652</v>
      </c>
    </row>
    <row r="333" spans="1:5" ht="14.25" customHeight="1" x14ac:dyDescent="0.45">
      <c r="A333" s="6">
        <v>43972</v>
      </c>
      <c r="B333" s="3" t="s">
        <v>15</v>
      </c>
      <c r="C333" s="3">
        <v>125</v>
      </c>
      <c r="D333" s="3">
        <v>20911</v>
      </c>
      <c r="E333" s="3">
        <v>19358</v>
      </c>
    </row>
    <row r="334" spans="1:5" ht="14.25" customHeight="1" x14ac:dyDescent="0.45">
      <c r="A334" s="6">
        <v>43972</v>
      </c>
      <c r="B334" s="3" t="s">
        <v>14</v>
      </c>
      <c r="C334" s="3">
        <v>129</v>
      </c>
      <c r="D334" s="3">
        <v>16373</v>
      </c>
      <c r="E334" s="3">
        <v>15223</v>
      </c>
    </row>
    <row r="335" spans="1:5" ht="14.25" customHeight="1" x14ac:dyDescent="0.45">
      <c r="A335" s="6">
        <v>43972</v>
      </c>
      <c r="B335" s="3" t="s">
        <v>12</v>
      </c>
      <c r="C335" s="3">
        <v>10</v>
      </c>
      <c r="D335" s="3">
        <v>677</v>
      </c>
      <c r="E335" s="3">
        <v>591</v>
      </c>
    </row>
    <row r="336" spans="1:5" ht="14.25" customHeight="1" x14ac:dyDescent="0.45">
      <c r="A336" s="6">
        <v>43973</v>
      </c>
      <c r="B336" s="3" t="s">
        <v>16</v>
      </c>
      <c r="C336" s="3">
        <v>36</v>
      </c>
      <c r="D336" s="3">
        <v>4857</v>
      </c>
      <c r="E336" s="3">
        <v>4456</v>
      </c>
    </row>
    <row r="337" spans="1:5" ht="14.25" customHeight="1" x14ac:dyDescent="0.45">
      <c r="A337" s="6">
        <v>43973</v>
      </c>
      <c r="B337" s="3" t="s">
        <v>11</v>
      </c>
      <c r="C337" s="3">
        <v>31</v>
      </c>
      <c r="D337" s="3">
        <v>5965</v>
      </c>
      <c r="E337" s="3">
        <v>5533</v>
      </c>
    </row>
    <row r="338" spans="1:5" ht="14.25" customHeight="1" x14ac:dyDescent="0.45">
      <c r="A338" s="6">
        <v>43973</v>
      </c>
      <c r="B338" s="3" t="s">
        <v>17</v>
      </c>
      <c r="C338" s="3">
        <v>21</v>
      </c>
      <c r="D338" s="3">
        <v>2861</v>
      </c>
      <c r="E338" s="3">
        <v>2612</v>
      </c>
    </row>
    <row r="339" spans="1:5" ht="14.25" customHeight="1" x14ac:dyDescent="0.45">
      <c r="A339" s="6">
        <v>43973</v>
      </c>
      <c r="B339" s="3" t="s">
        <v>10</v>
      </c>
      <c r="C339" s="3">
        <v>21</v>
      </c>
      <c r="D339" s="3">
        <v>2046</v>
      </c>
      <c r="E339" s="3">
        <v>1853</v>
      </c>
    </row>
    <row r="340" spans="1:5" ht="14.25" customHeight="1" x14ac:dyDescent="0.45">
      <c r="A340" s="6">
        <v>43973</v>
      </c>
      <c r="B340" s="3" t="s">
        <v>20</v>
      </c>
      <c r="C340" s="3">
        <v>19</v>
      </c>
      <c r="D340" s="3">
        <v>1859</v>
      </c>
      <c r="E340" s="3">
        <v>1697</v>
      </c>
    </row>
    <row r="341" spans="1:5" ht="14.25" customHeight="1" x14ac:dyDescent="0.45">
      <c r="A341" s="6">
        <v>43973</v>
      </c>
      <c r="B341" s="3" t="s">
        <v>22</v>
      </c>
      <c r="C341" s="3">
        <v>54</v>
      </c>
      <c r="D341" s="3">
        <v>13014</v>
      </c>
      <c r="E341" s="3">
        <v>12095</v>
      </c>
    </row>
    <row r="342" spans="1:5" ht="14.25" customHeight="1" x14ac:dyDescent="0.45">
      <c r="A342" s="6">
        <v>43973</v>
      </c>
      <c r="B342" s="3" t="s">
        <v>21</v>
      </c>
      <c r="C342" s="3">
        <v>60</v>
      </c>
      <c r="D342" s="3">
        <v>14050</v>
      </c>
      <c r="E342" s="3">
        <v>13027</v>
      </c>
    </row>
    <row r="343" spans="1:5" ht="14.25" customHeight="1" x14ac:dyDescent="0.45">
      <c r="A343" s="6">
        <v>43973</v>
      </c>
      <c r="B343" s="3" t="s">
        <v>13</v>
      </c>
      <c r="C343" s="3">
        <v>20</v>
      </c>
      <c r="D343" s="3">
        <v>2306</v>
      </c>
      <c r="E343" s="3">
        <v>2054</v>
      </c>
    </row>
    <row r="344" spans="1:5" ht="14.25" customHeight="1" x14ac:dyDescent="0.45">
      <c r="A344" s="6">
        <v>43973</v>
      </c>
      <c r="B344" s="3" t="s">
        <v>23</v>
      </c>
      <c r="C344" s="3">
        <v>18</v>
      </c>
      <c r="D344" s="3">
        <v>985</v>
      </c>
      <c r="E344" s="3">
        <v>861</v>
      </c>
    </row>
    <row r="345" spans="1:5" ht="14.25" customHeight="1" x14ac:dyDescent="0.45">
      <c r="A345" s="6">
        <v>43973</v>
      </c>
      <c r="B345" s="3" t="s">
        <v>18</v>
      </c>
      <c r="C345" s="3">
        <v>17</v>
      </c>
      <c r="D345" s="3">
        <v>1268</v>
      </c>
      <c r="E345" s="3">
        <v>1129</v>
      </c>
    </row>
    <row r="346" spans="1:5" ht="14.25" customHeight="1" x14ac:dyDescent="0.45">
      <c r="A346" s="6">
        <v>43973</v>
      </c>
      <c r="B346" s="3" t="s">
        <v>19</v>
      </c>
      <c r="C346" s="3">
        <v>15</v>
      </c>
      <c r="D346" s="3">
        <v>903</v>
      </c>
      <c r="E346" s="3">
        <v>792</v>
      </c>
    </row>
    <row r="347" spans="1:5" ht="14.25" customHeight="1" x14ac:dyDescent="0.45">
      <c r="A347" s="6">
        <v>43973</v>
      </c>
      <c r="B347" s="3" t="s">
        <v>15</v>
      </c>
      <c r="C347" s="3">
        <v>125</v>
      </c>
      <c r="D347" s="3">
        <v>21427</v>
      </c>
      <c r="E347" s="3">
        <v>19799</v>
      </c>
    </row>
    <row r="348" spans="1:5" ht="14.25" customHeight="1" x14ac:dyDescent="0.45">
      <c r="A348" s="6">
        <v>43973</v>
      </c>
      <c r="B348" s="3" t="s">
        <v>14</v>
      </c>
      <c r="C348" s="3">
        <v>129</v>
      </c>
      <c r="D348" s="3">
        <v>17088</v>
      </c>
      <c r="E348" s="3">
        <v>15804</v>
      </c>
    </row>
    <row r="349" spans="1:5" ht="14.25" customHeight="1" x14ac:dyDescent="0.45">
      <c r="A349" s="6">
        <v>43973</v>
      </c>
      <c r="B349" s="3" t="s">
        <v>12</v>
      </c>
      <c r="C349" s="3">
        <v>10</v>
      </c>
      <c r="D349" s="3">
        <v>965</v>
      </c>
      <c r="E349" s="3">
        <v>861</v>
      </c>
    </row>
    <row r="350" spans="1:5" ht="14.25" customHeight="1" x14ac:dyDescent="0.45">
      <c r="A350" s="6">
        <v>43974</v>
      </c>
      <c r="B350" s="3" t="s">
        <v>16</v>
      </c>
      <c r="C350" s="3">
        <v>36</v>
      </c>
      <c r="D350" s="3">
        <v>5651</v>
      </c>
      <c r="E350" s="3">
        <v>5212</v>
      </c>
    </row>
    <row r="351" spans="1:5" ht="14.25" customHeight="1" x14ac:dyDescent="0.45">
      <c r="A351" s="6">
        <v>43974</v>
      </c>
      <c r="B351" s="3" t="s">
        <v>11</v>
      </c>
      <c r="C351" s="3">
        <v>31</v>
      </c>
      <c r="D351" s="3">
        <v>6276</v>
      </c>
      <c r="E351" s="3">
        <v>5801</v>
      </c>
    </row>
    <row r="352" spans="1:5" ht="14.25" customHeight="1" x14ac:dyDescent="0.45">
      <c r="A352" s="6">
        <v>43974</v>
      </c>
      <c r="B352" s="3" t="s">
        <v>17</v>
      </c>
      <c r="C352" s="3">
        <v>21</v>
      </c>
      <c r="D352" s="3">
        <v>2460</v>
      </c>
      <c r="E352" s="3">
        <v>2226</v>
      </c>
    </row>
    <row r="353" spans="1:5" ht="14.25" customHeight="1" x14ac:dyDescent="0.45">
      <c r="A353" s="6">
        <v>43974</v>
      </c>
      <c r="B353" s="3" t="s">
        <v>10</v>
      </c>
      <c r="C353" s="3">
        <v>21</v>
      </c>
      <c r="D353" s="3">
        <v>2340</v>
      </c>
      <c r="E353" s="3">
        <v>2146</v>
      </c>
    </row>
    <row r="354" spans="1:5" ht="14.25" customHeight="1" x14ac:dyDescent="0.45">
      <c r="A354" s="6">
        <v>43974</v>
      </c>
      <c r="B354" s="3" t="s">
        <v>20</v>
      </c>
      <c r="C354" s="3">
        <v>19</v>
      </c>
      <c r="D354" s="3">
        <v>2195</v>
      </c>
      <c r="E354" s="3">
        <v>1999</v>
      </c>
    </row>
    <row r="355" spans="1:5" ht="14.25" customHeight="1" x14ac:dyDescent="0.45">
      <c r="A355" s="6">
        <v>43974</v>
      </c>
      <c r="B355" s="3" t="s">
        <v>22</v>
      </c>
      <c r="C355" s="3">
        <v>54</v>
      </c>
      <c r="D355" s="3">
        <v>16221</v>
      </c>
      <c r="E355" s="3">
        <v>15065</v>
      </c>
    </row>
    <row r="356" spans="1:5" ht="14.25" customHeight="1" x14ac:dyDescent="0.45">
      <c r="A356" s="6">
        <v>43974</v>
      </c>
      <c r="B356" s="3" t="s">
        <v>21</v>
      </c>
      <c r="C356" s="3">
        <v>60</v>
      </c>
      <c r="D356" s="3">
        <v>17295</v>
      </c>
      <c r="E356" s="3">
        <v>16010</v>
      </c>
    </row>
    <row r="357" spans="1:5" ht="14.25" customHeight="1" x14ac:dyDescent="0.45">
      <c r="A357" s="6">
        <v>43974</v>
      </c>
      <c r="B357" s="3" t="s">
        <v>13</v>
      </c>
      <c r="C357" s="3">
        <v>20</v>
      </c>
      <c r="D357" s="3">
        <v>2266</v>
      </c>
      <c r="E357" s="3">
        <v>1993</v>
      </c>
    </row>
    <row r="358" spans="1:5" ht="14.25" customHeight="1" x14ac:dyDescent="0.45">
      <c r="A358" s="6">
        <v>43974</v>
      </c>
      <c r="B358" s="3" t="s">
        <v>23</v>
      </c>
      <c r="C358" s="3">
        <v>18</v>
      </c>
      <c r="D358" s="3">
        <v>1031</v>
      </c>
      <c r="E358" s="3">
        <v>918</v>
      </c>
    </row>
    <row r="359" spans="1:5" ht="14.25" customHeight="1" x14ac:dyDescent="0.45">
      <c r="A359" s="6">
        <v>43974</v>
      </c>
      <c r="B359" s="3" t="s">
        <v>18</v>
      </c>
      <c r="C359" s="3">
        <v>17</v>
      </c>
      <c r="D359" s="3">
        <v>1294</v>
      </c>
      <c r="E359" s="3">
        <v>1155</v>
      </c>
    </row>
    <row r="360" spans="1:5" ht="14.25" customHeight="1" x14ac:dyDescent="0.45">
      <c r="A360" s="6">
        <v>43974</v>
      </c>
      <c r="B360" s="3" t="s">
        <v>19</v>
      </c>
      <c r="C360" s="3">
        <v>15</v>
      </c>
      <c r="D360" s="3">
        <v>840</v>
      </c>
      <c r="E360" s="3">
        <v>725</v>
      </c>
    </row>
    <row r="361" spans="1:5" ht="14.25" customHeight="1" x14ac:dyDescent="0.45">
      <c r="A361" s="6">
        <v>43974</v>
      </c>
      <c r="B361" s="3" t="s">
        <v>15</v>
      </c>
      <c r="C361" s="3">
        <v>125</v>
      </c>
      <c r="D361" s="3">
        <v>24574</v>
      </c>
      <c r="E361" s="3">
        <v>22609</v>
      </c>
    </row>
    <row r="362" spans="1:5" ht="14.25" customHeight="1" x14ac:dyDescent="0.45">
      <c r="A362" s="6">
        <v>43974</v>
      </c>
      <c r="B362" s="3" t="s">
        <v>14</v>
      </c>
      <c r="C362" s="3">
        <v>129</v>
      </c>
      <c r="D362" s="3">
        <v>19856</v>
      </c>
      <c r="E362" s="3">
        <v>18325</v>
      </c>
    </row>
    <row r="363" spans="1:5" ht="14.25" customHeight="1" x14ac:dyDescent="0.45">
      <c r="A363" s="6">
        <v>43974</v>
      </c>
      <c r="B363" s="3" t="s">
        <v>12</v>
      </c>
      <c r="C363" s="3">
        <v>10</v>
      </c>
      <c r="D363" s="3">
        <v>828</v>
      </c>
      <c r="E363" s="3">
        <v>734</v>
      </c>
    </row>
    <row r="364" spans="1:5" ht="14.25" customHeight="1" x14ac:dyDescent="0.45">
      <c r="A364" s="6">
        <v>43975</v>
      </c>
      <c r="B364" s="3" t="s">
        <v>16</v>
      </c>
      <c r="C364" s="3">
        <v>36</v>
      </c>
      <c r="D364" s="3">
        <v>4915</v>
      </c>
      <c r="E364" s="3">
        <v>4562</v>
      </c>
    </row>
    <row r="365" spans="1:5" ht="14.25" customHeight="1" x14ac:dyDescent="0.45">
      <c r="A365" s="6">
        <v>43975</v>
      </c>
      <c r="B365" s="3" t="s">
        <v>11</v>
      </c>
      <c r="C365" s="3">
        <v>31</v>
      </c>
      <c r="D365" s="3">
        <v>5035</v>
      </c>
      <c r="E365" s="3">
        <v>4683</v>
      </c>
    </row>
    <row r="366" spans="1:5" ht="14.25" customHeight="1" x14ac:dyDescent="0.45">
      <c r="A366" s="6">
        <v>43975</v>
      </c>
      <c r="B366" s="3" t="s">
        <v>17</v>
      </c>
      <c r="C366" s="3">
        <v>21</v>
      </c>
      <c r="D366" s="3">
        <v>2254</v>
      </c>
      <c r="E366" s="3">
        <v>2061</v>
      </c>
    </row>
    <row r="367" spans="1:5" ht="14.25" customHeight="1" x14ac:dyDescent="0.45">
      <c r="A367" s="6">
        <v>43975</v>
      </c>
      <c r="B367" s="3" t="s">
        <v>10</v>
      </c>
      <c r="C367" s="3">
        <v>20</v>
      </c>
      <c r="D367" s="3">
        <v>1999</v>
      </c>
      <c r="E367" s="3">
        <v>1829</v>
      </c>
    </row>
    <row r="368" spans="1:5" ht="14.25" customHeight="1" x14ac:dyDescent="0.45">
      <c r="A368" s="6">
        <v>43975</v>
      </c>
      <c r="B368" s="3" t="s">
        <v>20</v>
      </c>
      <c r="C368" s="3">
        <v>19</v>
      </c>
      <c r="D368" s="3">
        <v>1868</v>
      </c>
      <c r="E368" s="3">
        <v>1706</v>
      </c>
    </row>
    <row r="369" spans="1:5" ht="14.25" customHeight="1" x14ac:dyDescent="0.45">
      <c r="A369" s="6">
        <v>43975</v>
      </c>
      <c r="B369" s="3" t="s">
        <v>22</v>
      </c>
      <c r="C369" s="3">
        <v>54</v>
      </c>
      <c r="D369" s="3">
        <v>12211</v>
      </c>
      <c r="E369" s="3">
        <v>11427</v>
      </c>
    </row>
    <row r="370" spans="1:5" ht="14.25" customHeight="1" x14ac:dyDescent="0.45">
      <c r="A370" s="6">
        <v>43975</v>
      </c>
      <c r="B370" s="3" t="s">
        <v>21</v>
      </c>
      <c r="C370" s="3">
        <v>60</v>
      </c>
      <c r="D370" s="3">
        <v>12822</v>
      </c>
      <c r="E370" s="3">
        <v>11916</v>
      </c>
    </row>
    <row r="371" spans="1:5" ht="14.25" customHeight="1" x14ac:dyDescent="0.45">
      <c r="A371" s="6">
        <v>43975</v>
      </c>
      <c r="B371" s="3" t="s">
        <v>13</v>
      </c>
      <c r="C371" s="3">
        <v>20</v>
      </c>
      <c r="D371" s="3">
        <v>2015</v>
      </c>
      <c r="E371" s="3">
        <v>1803</v>
      </c>
    </row>
    <row r="372" spans="1:5" ht="14.25" customHeight="1" x14ac:dyDescent="0.45">
      <c r="A372" s="6">
        <v>43975</v>
      </c>
      <c r="B372" s="3" t="s">
        <v>23</v>
      </c>
      <c r="C372" s="3">
        <v>18</v>
      </c>
      <c r="D372" s="3">
        <v>1006</v>
      </c>
      <c r="E372" s="3">
        <v>904</v>
      </c>
    </row>
    <row r="373" spans="1:5" ht="14.25" customHeight="1" x14ac:dyDescent="0.45">
      <c r="A373" s="6">
        <v>43975</v>
      </c>
      <c r="B373" s="3" t="s">
        <v>18</v>
      </c>
      <c r="C373" s="3">
        <v>17</v>
      </c>
      <c r="D373" s="3">
        <v>1128</v>
      </c>
      <c r="E373" s="3">
        <v>1001</v>
      </c>
    </row>
    <row r="374" spans="1:5" ht="14.25" customHeight="1" x14ac:dyDescent="0.45">
      <c r="A374" s="6">
        <v>43975</v>
      </c>
      <c r="B374" s="3" t="s">
        <v>19</v>
      </c>
      <c r="C374" s="3">
        <v>15</v>
      </c>
      <c r="D374" s="3">
        <v>779</v>
      </c>
      <c r="E374" s="3">
        <v>673</v>
      </c>
    </row>
    <row r="375" spans="1:5" ht="14.25" customHeight="1" x14ac:dyDescent="0.45">
      <c r="A375" s="6">
        <v>43975</v>
      </c>
      <c r="B375" s="3" t="s">
        <v>15</v>
      </c>
      <c r="C375" s="3">
        <v>125</v>
      </c>
      <c r="D375" s="3">
        <v>21004</v>
      </c>
      <c r="E375" s="3">
        <v>19556</v>
      </c>
    </row>
    <row r="376" spans="1:5" ht="14.25" customHeight="1" x14ac:dyDescent="0.45">
      <c r="A376" s="6">
        <v>43975</v>
      </c>
      <c r="B376" s="3" t="s">
        <v>14</v>
      </c>
      <c r="C376" s="3">
        <v>129</v>
      </c>
      <c r="D376" s="3">
        <v>16432</v>
      </c>
      <c r="E376" s="3">
        <v>15345</v>
      </c>
    </row>
    <row r="377" spans="1:5" ht="14.25" customHeight="1" x14ac:dyDescent="0.45">
      <c r="A377" s="6">
        <v>43975</v>
      </c>
      <c r="B377" s="3" t="s">
        <v>12</v>
      </c>
      <c r="C377" s="3">
        <v>10</v>
      </c>
      <c r="D377" s="3">
        <v>639</v>
      </c>
      <c r="E377" s="3">
        <v>557</v>
      </c>
    </row>
    <row r="378" spans="1:5" ht="14.25" customHeight="1" x14ac:dyDescent="0.45">
      <c r="A378" s="6">
        <v>43976</v>
      </c>
      <c r="B378" s="3" t="s">
        <v>16</v>
      </c>
      <c r="C378" s="3">
        <v>36</v>
      </c>
      <c r="D378" s="3">
        <v>4641</v>
      </c>
      <c r="E378" s="3">
        <v>4274</v>
      </c>
    </row>
    <row r="379" spans="1:5" ht="14.25" customHeight="1" x14ac:dyDescent="0.45">
      <c r="A379" s="6">
        <v>43976</v>
      </c>
      <c r="B379" s="3" t="s">
        <v>11</v>
      </c>
      <c r="C379" s="3">
        <v>31</v>
      </c>
      <c r="D379" s="3">
        <v>5210</v>
      </c>
      <c r="E379" s="3">
        <v>4841</v>
      </c>
    </row>
    <row r="380" spans="1:5" ht="14.25" customHeight="1" x14ac:dyDescent="0.45">
      <c r="A380" s="6">
        <v>43976</v>
      </c>
      <c r="B380" s="3" t="s">
        <v>17</v>
      </c>
      <c r="C380" s="3">
        <v>21</v>
      </c>
      <c r="D380" s="3">
        <v>2330</v>
      </c>
      <c r="E380" s="3">
        <v>2142</v>
      </c>
    </row>
    <row r="381" spans="1:5" ht="14.25" customHeight="1" x14ac:dyDescent="0.45">
      <c r="A381" s="6">
        <v>43976</v>
      </c>
      <c r="B381" s="3" t="s">
        <v>10</v>
      </c>
      <c r="C381" s="3">
        <v>20</v>
      </c>
      <c r="D381" s="3">
        <v>2087</v>
      </c>
      <c r="E381" s="3">
        <v>1914</v>
      </c>
    </row>
    <row r="382" spans="1:5" ht="14.25" customHeight="1" x14ac:dyDescent="0.45">
      <c r="A382" s="6">
        <v>43976</v>
      </c>
      <c r="B382" s="3" t="s">
        <v>20</v>
      </c>
      <c r="C382" s="3">
        <v>20</v>
      </c>
      <c r="D382" s="3">
        <v>1899</v>
      </c>
      <c r="E382" s="3">
        <v>1738</v>
      </c>
    </row>
    <row r="383" spans="1:5" ht="14.25" customHeight="1" x14ac:dyDescent="0.45">
      <c r="A383" s="6">
        <v>43976</v>
      </c>
      <c r="B383" s="3" t="s">
        <v>22</v>
      </c>
      <c r="C383" s="3">
        <v>54</v>
      </c>
      <c r="D383" s="3">
        <v>12336</v>
      </c>
      <c r="E383" s="3">
        <v>11519</v>
      </c>
    </row>
    <row r="384" spans="1:5" ht="14.25" customHeight="1" x14ac:dyDescent="0.45">
      <c r="A384" s="6">
        <v>43976</v>
      </c>
      <c r="B384" s="3" t="s">
        <v>21</v>
      </c>
      <c r="C384" s="3">
        <v>59</v>
      </c>
      <c r="D384" s="3">
        <v>12983</v>
      </c>
      <c r="E384" s="3">
        <v>12056</v>
      </c>
    </row>
    <row r="385" spans="1:5" ht="14.25" customHeight="1" x14ac:dyDescent="0.45">
      <c r="A385" s="6">
        <v>43976</v>
      </c>
      <c r="B385" s="3" t="s">
        <v>13</v>
      </c>
      <c r="C385" s="3">
        <v>20</v>
      </c>
      <c r="D385" s="3">
        <v>2011</v>
      </c>
      <c r="E385" s="3">
        <v>1791</v>
      </c>
    </row>
    <row r="386" spans="1:5" ht="14.25" customHeight="1" x14ac:dyDescent="0.45">
      <c r="A386" s="6">
        <v>43976</v>
      </c>
      <c r="B386" s="3" t="s">
        <v>23</v>
      </c>
      <c r="C386" s="3">
        <v>18</v>
      </c>
      <c r="D386" s="3">
        <v>989</v>
      </c>
      <c r="E386" s="3">
        <v>887</v>
      </c>
    </row>
    <row r="387" spans="1:5" ht="14.25" customHeight="1" x14ac:dyDescent="0.45">
      <c r="A387" s="6">
        <v>43976</v>
      </c>
      <c r="B387" s="3" t="s">
        <v>18</v>
      </c>
      <c r="C387" s="3">
        <v>17</v>
      </c>
      <c r="D387" s="3">
        <v>1142</v>
      </c>
      <c r="E387" s="3">
        <v>1020</v>
      </c>
    </row>
    <row r="388" spans="1:5" ht="14.25" customHeight="1" x14ac:dyDescent="0.45">
      <c r="A388" s="6">
        <v>43976</v>
      </c>
      <c r="B388" s="3" t="s">
        <v>19</v>
      </c>
      <c r="C388" s="3">
        <v>15</v>
      </c>
      <c r="D388" s="3">
        <v>835</v>
      </c>
      <c r="E388" s="3">
        <v>736</v>
      </c>
    </row>
    <row r="389" spans="1:5" ht="14.25" customHeight="1" x14ac:dyDescent="0.45">
      <c r="A389" s="6">
        <v>43976</v>
      </c>
      <c r="B389" s="3" t="s">
        <v>15</v>
      </c>
      <c r="C389" s="3">
        <v>124</v>
      </c>
      <c r="D389" s="3">
        <v>20358</v>
      </c>
      <c r="E389" s="3">
        <v>18890</v>
      </c>
    </row>
    <row r="390" spans="1:5" ht="14.25" customHeight="1" x14ac:dyDescent="0.45">
      <c r="A390" s="6">
        <v>43976</v>
      </c>
      <c r="B390" s="3" t="s">
        <v>14</v>
      </c>
      <c r="C390" s="3">
        <v>129</v>
      </c>
      <c r="D390" s="3">
        <v>15822</v>
      </c>
      <c r="E390" s="3">
        <v>14753</v>
      </c>
    </row>
    <row r="391" spans="1:5" ht="14.25" customHeight="1" x14ac:dyDescent="0.45">
      <c r="A391" s="6">
        <v>43976</v>
      </c>
      <c r="B391" s="3" t="s">
        <v>12</v>
      </c>
      <c r="C391" s="3">
        <v>10</v>
      </c>
      <c r="D391" s="3">
        <v>739</v>
      </c>
      <c r="E391" s="3">
        <v>642</v>
      </c>
    </row>
    <row r="392" spans="1:5" ht="14.25" customHeight="1" x14ac:dyDescent="0.45">
      <c r="A392" s="6">
        <v>43977</v>
      </c>
      <c r="B392" s="3" t="s">
        <v>16</v>
      </c>
      <c r="C392" s="3">
        <v>36</v>
      </c>
      <c r="D392" s="3">
        <v>4770</v>
      </c>
      <c r="E392" s="3">
        <v>4424</v>
      </c>
    </row>
    <row r="393" spans="1:5" ht="14.25" customHeight="1" x14ac:dyDescent="0.45">
      <c r="A393" s="6">
        <v>43977</v>
      </c>
      <c r="B393" s="3" t="s">
        <v>11</v>
      </c>
      <c r="C393" s="3">
        <v>31</v>
      </c>
      <c r="D393" s="3">
        <v>5493</v>
      </c>
      <c r="E393" s="3">
        <v>5119</v>
      </c>
    </row>
    <row r="394" spans="1:5" ht="14.25" customHeight="1" x14ac:dyDescent="0.45">
      <c r="A394" s="6">
        <v>43977</v>
      </c>
      <c r="B394" s="3" t="s">
        <v>17</v>
      </c>
      <c r="C394" s="3">
        <v>21</v>
      </c>
      <c r="D394" s="3">
        <v>2418</v>
      </c>
      <c r="E394" s="3">
        <v>2215</v>
      </c>
    </row>
    <row r="395" spans="1:5" ht="14.25" customHeight="1" x14ac:dyDescent="0.45">
      <c r="A395" s="6">
        <v>43977</v>
      </c>
      <c r="B395" s="3" t="s">
        <v>10</v>
      </c>
      <c r="C395" s="3">
        <v>20</v>
      </c>
      <c r="D395" s="3">
        <v>2044</v>
      </c>
      <c r="E395" s="3">
        <v>1863</v>
      </c>
    </row>
    <row r="396" spans="1:5" ht="14.25" customHeight="1" x14ac:dyDescent="0.45">
      <c r="A396" s="6">
        <v>43977</v>
      </c>
      <c r="B396" s="3" t="s">
        <v>20</v>
      </c>
      <c r="C396" s="3">
        <v>20</v>
      </c>
      <c r="D396" s="3">
        <v>1814</v>
      </c>
      <c r="E396" s="3">
        <v>1655</v>
      </c>
    </row>
    <row r="397" spans="1:5" ht="14.25" customHeight="1" x14ac:dyDescent="0.45">
      <c r="A397" s="6">
        <v>43977</v>
      </c>
      <c r="B397" s="3" t="s">
        <v>22</v>
      </c>
      <c r="C397" s="3">
        <v>54</v>
      </c>
      <c r="D397" s="3">
        <v>14482</v>
      </c>
      <c r="E397" s="3">
        <v>13510</v>
      </c>
    </row>
    <row r="398" spans="1:5" ht="14.25" customHeight="1" x14ac:dyDescent="0.45">
      <c r="A398" s="6">
        <v>43977</v>
      </c>
      <c r="B398" s="3" t="s">
        <v>21</v>
      </c>
      <c r="C398" s="3">
        <v>59</v>
      </c>
      <c r="D398" s="3">
        <v>15369</v>
      </c>
      <c r="E398" s="3">
        <v>14299</v>
      </c>
    </row>
    <row r="399" spans="1:5" ht="14.25" customHeight="1" x14ac:dyDescent="0.45">
      <c r="A399" s="6">
        <v>43977</v>
      </c>
      <c r="B399" s="3" t="s">
        <v>13</v>
      </c>
      <c r="C399" s="3">
        <v>20</v>
      </c>
      <c r="D399" s="3">
        <v>2036</v>
      </c>
      <c r="E399" s="3">
        <v>1790</v>
      </c>
    </row>
    <row r="400" spans="1:5" ht="14.25" customHeight="1" x14ac:dyDescent="0.45">
      <c r="A400" s="6">
        <v>43977</v>
      </c>
      <c r="B400" s="3" t="s">
        <v>23</v>
      </c>
      <c r="C400" s="3">
        <v>18</v>
      </c>
      <c r="D400" s="3">
        <v>914</v>
      </c>
      <c r="E400" s="3">
        <v>804</v>
      </c>
    </row>
    <row r="401" spans="1:5" ht="14.25" customHeight="1" x14ac:dyDescent="0.45">
      <c r="A401" s="6">
        <v>43977</v>
      </c>
      <c r="B401" s="3" t="s">
        <v>18</v>
      </c>
      <c r="C401" s="3">
        <v>17</v>
      </c>
      <c r="D401" s="3">
        <v>1140</v>
      </c>
      <c r="E401" s="3">
        <v>1016</v>
      </c>
    </row>
    <row r="402" spans="1:5" ht="14.25" customHeight="1" x14ac:dyDescent="0.45">
      <c r="A402" s="6">
        <v>43977</v>
      </c>
      <c r="B402" s="3" t="s">
        <v>19</v>
      </c>
      <c r="C402" s="3">
        <v>15</v>
      </c>
      <c r="D402" s="3">
        <v>812</v>
      </c>
      <c r="E402" s="3">
        <v>711</v>
      </c>
    </row>
    <row r="403" spans="1:5" ht="14.25" customHeight="1" x14ac:dyDescent="0.45">
      <c r="A403" s="6">
        <v>43977</v>
      </c>
      <c r="B403" s="3" t="s">
        <v>15</v>
      </c>
      <c r="C403" s="3">
        <v>124</v>
      </c>
      <c r="D403" s="3">
        <v>21153</v>
      </c>
      <c r="E403" s="3">
        <v>19673</v>
      </c>
    </row>
    <row r="404" spans="1:5" ht="14.25" customHeight="1" x14ac:dyDescent="0.45">
      <c r="A404" s="6">
        <v>43977</v>
      </c>
      <c r="B404" s="3" t="s">
        <v>14</v>
      </c>
      <c r="C404" s="3">
        <v>129</v>
      </c>
      <c r="D404" s="3">
        <v>16459</v>
      </c>
      <c r="E404" s="3">
        <v>15355</v>
      </c>
    </row>
    <row r="405" spans="1:5" ht="14.25" customHeight="1" x14ac:dyDescent="0.45">
      <c r="A405" s="6">
        <v>43977</v>
      </c>
      <c r="B405" s="3" t="s">
        <v>12</v>
      </c>
      <c r="C405" s="3">
        <v>10</v>
      </c>
      <c r="D405" s="3">
        <v>692</v>
      </c>
      <c r="E405" s="3">
        <v>601</v>
      </c>
    </row>
    <row r="406" spans="1:5" ht="14.25" customHeight="1" x14ac:dyDescent="0.45">
      <c r="A406" s="6">
        <v>43977</v>
      </c>
      <c r="B406" s="3" t="s">
        <v>24</v>
      </c>
      <c r="C406" s="3">
        <v>7</v>
      </c>
      <c r="D406" s="3">
        <v>577</v>
      </c>
      <c r="E406" s="3">
        <v>389</v>
      </c>
    </row>
    <row r="407" spans="1:5" ht="14.25" customHeight="1" x14ac:dyDescent="0.45">
      <c r="A407" s="6">
        <v>43978</v>
      </c>
      <c r="B407" s="3" t="s">
        <v>16</v>
      </c>
      <c r="C407" s="3">
        <v>36</v>
      </c>
      <c r="D407" s="3">
        <v>4951</v>
      </c>
      <c r="E407" s="3">
        <v>4584</v>
      </c>
    </row>
    <row r="408" spans="1:5" ht="14.25" customHeight="1" x14ac:dyDescent="0.45">
      <c r="A408" s="6">
        <v>43978</v>
      </c>
      <c r="B408" s="3" t="s">
        <v>11</v>
      </c>
      <c r="C408" s="3">
        <v>31</v>
      </c>
      <c r="D408" s="3">
        <v>5330</v>
      </c>
      <c r="E408" s="3">
        <v>4977</v>
      </c>
    </row>
    <row r="409" spans="1:5" ht="14.25" customHeight="1" x14ac:dyDescent="0.45">
      <c r="A409" s="6">
        <v>43978</v>
      </c>
      <c r="B409" s="3" t="s">
        <v>17</v>
      </c>
      <c r="C409" s="3">
        <v>21</v>
      </c>
      <c r="D409" s="3">
        <v>2430</v>
      </c>
      <c r="E409" s="3">
        <v>2216</v>
      </c>
    </row>
    <row r="410" spans="1:5" ht="14.25" customHeight="1" x14ac:dyDescent="0.45">
      <c r="A410" s="6">
        <v>43978</v>
      </c>
      <c r="B410" s="3" t="s">
        <v>10</v>
      </c>
      <c r="C410" s="3">
        <v>20</v>
      </c>
      <c r="D410" s="3">
        <v>2079</v>
      </c>
      <c r="E410" s="3">
        <v>1893</v>
      </c>
    </row>
    <row r="411" spans="1:5" ht="14.25" customHeight="1" x14ac:dyDescent="0.45">
      <c r="A411" s="6">
        <v>43978</v>
      </c>
      <c r="B411" s="3" t="s">
        <v>20</v>
      </c>
      <c r="C411" s="3">
        <v>20</v>
      </c>
      <c r="D411" s="3">
        <v>1873</v>
      </c>
      <c r="E411" s="3">
        <v>1715</v>
      </c>
    </row>
    <row r="412" spans="1:5" ht="14.25" customHeight="1" x14ac:dyDescent="0.45">
      <c r="A412" s="6">
        <v>43978</v>
      </c>
      <c r="B412" s="3" t="s">
        <v>22</v>
      </c>
      <c r="C412" s="3">
        <v>54</v>
      </c>
      <c r="D412" s="3">
        <v>13091</v>
      </c>
      <c r="E412" s="3">
        <v>12216</v>
      </c>
    </row>
    <row r="413" spans="1:5" ht="14.25" customHeight="1" x14ac:dyDescent="0.45">
      <c r="A413" s="6">
        <v>43978</v>
      </c>
      <c r="B413" s="3" t="s">
        <v>21</v>
      </c>
      <c r="C413" s="3">
        <v>59</v>
      </c>
      <c r="D413" s="3">
        <v>13942</v>
      </c>
      <c r="E413" s="3">
        <v>12986</v>
      </c>
    </row>
    <row r="414" spans="1:5" ht="14.25" customHeight="1" x14ac:dyDescent="0.45">
      <c r="A414" s="6">
        <v>43978</v>
      </c>
      <c r="B414" s="3" t="s">
        <v>13</v>
      </c>
      <c r="C414" s="3">
        <v>20</v>
      </c>
      <c r="D414" s="3">
        <v>2079</v>
      </c>
      <c r="E414" s="3">
        <v>1856</v>
      </c>
    </row>
    <row r="415" spans="1:5" ht="14.25" customHeight="1" x14ac:dyDescent="0.45">
      <c r="A415" s="6">
        <v>43978</v>
      </c>
      <c r="B415" s="3" t="s">
        <v>23</v>
      </c>
      <c r="C415" s="3">
        <v>18</v>
      </c>
      <c r="D415" s="3">
        <v>962</v>
      </c>
      <c r="E415" s="3">
        <v>859</v>
      </c>
    </row>
    <row r="416" spans="1:5" ht="14.25" customHeight="1" x14ac:dyDescent="0.45">
      <c r="A416" s="6">
        <v>43978</v>
      </c>
      <c r="B416" s="3" t="s">
        <v>18</v>
      </c>
      <c r="C416" s="3">
        <v>17</v>
      </c>
      <c r="D416" s="3">
        <v>1203</v>
      </c>
      <c r="E416" s="3">
        <v>1077</v>
      </c>
    </row>
    <row r="417" spans="1:5" ht="14.25" customHeight="1" x14ac:dyDescent="0.45">
      <c r="A417" s="6">
        <v>43978</v>
      </c>
      <c r="B417" s="3" t="s">
        <v>19</v>
      </c>
      <c r="C417" s="3">
        <v>15</v>
      </c>
      <c r="D417" s="3">
        <v>809</v>
      </c>
      <c r="E417" s="3">
        <v>702</v>
      </c>
    </row>
    <row r="418" spans="1:5" ht="14.25" customHeight="1" x14ac:dyDescent="0.45">
      <c r="A418" s="6">
        <v>43978</v>
      </c>
      <c r="B418" s="3" t="s">
        <v>15</v>
      </c>
      <c r="C418" s="3">
        <v>124</v>
      </c>
      <c r="D418" s="3">
        <v>21384</v>
      </c>
      <c r="E418" s="3">
        <v>19897</v>
      </c>
    </row>
    <row r="419" spans="1:5" ht="14.25" customHeight="1" x14ac:dyDescent="0.45">
      <c r="A419" s="6">
        <v>43978</v>
      </c>
      <c r="B419" s="3" t="s">
        <v>14</v>
      </c>
      <c r="C419" s="3">
        <v>129</v>
      </c>
      <c r="D419" s="3">
        <v>17115</v>
      </c>
      <c r="E419" s="3">
        <v>15962</v>
      </c>
    </row>
    <row r="420" spans="1:5" ht="14.25" customHeight="1" x14ac:dyDescent="0.45">
      <c r="A420" s="6">
        <v>43978</v>
      </c>
      <c r="B420" s="3" t="s">
        <v>12</v>
      </c>
      <c r="C420" s="3">
        <v>10</v>
      </c>
      <c r="D420" s="3">
        <v>757</v>
      </c>
      <c r="E420" s="3">
        <v>660</v>
      </c>
    </row>
    <row r="421" spans="1:5" ht="14.25" customHeight="1" x14ac:dyDescent="0.45">
      <c r="A421" s="6">
        <v>43978</v>
      </c>
      <c r="B421" s="3" t="s">
        <v>24</v>
      </c>
      <c r="C421" s="3">
        <v>7</v>
      </c>
      <c r="D421" s="3">
        <v>409</v>
      </c>
      <c r="E421" s="3">
        <v>329</v>
      </c>
    </row>
    <row r="422" spans="1:5" ht="14.25" customHeight="1" x14ac:dyDescent="0.45">
      <c r="A422" s="6">
        <v>43979</v>
      </c>
      <c r="B422" s="3" t="s">
        <v>16</v>
      </c>
      <c r="C422" s="3">
        <v>37</v>
      </c>
      <c r="D422" s="3">
        <v>4840</v>
      </c>
      <c r="E422" s="3">
        <v>4475</v>
      </c>
    </row>
    <row r="423" spans="1:5" ht="14.25" customHeight="1" x14ac:dyDescent="0.45">
      <c r="A423" s="6">
        <v>43979</v>
      </c>
      <c r="B423" s="3" t="s">
        <v>11</v>
      </c>
      <c r="C423" s="3">
        <v>31</v>
      </c>
      <c r="D423" s="3">
        <v>5355</v>
      </c>
      <c r="E423" s="3">
        <v>4969</v>
      </c>
    </row>
    <row r="424" spans="1:5" ht="14.25" customHeight="1" x14ac:dyDescent="0.45">
      <c r="A424" s="6">
        <v>43979</v>
      </c>
      <c r="B424" s="3" t="s">
        <v>17</v>
      </c>
      <c r="C424" s="3">
        <v>22</v>
      </c>
      <c r="D424" s="3">
        <v>2454</v>
      </c>
      <c r="E424" s="3">
        <v>2239</v>
      </c>
    </row>
    <row r="425" spans="1:5" ht="14.25" customHeight="1" x14ac:dyDescent="0.45">
      <c r="A425" s="6">
        <v>43979</v>
      </c>
      <c r="B425" s="3" t="s">
        <v>10</v>
      </c>
      <c r="C425" s="3">
        <v>20</v>
      </c>
      <c r="D425" s="3">
        <v>1886</v>
      </c>
      <c r="E425" s="3">
        <v>1736</v>
      </c>
    </row>
    <row r="426" spans="1:5" ht="14.25" customHeight="1" x14ac:dyDescent="0.45">
      <c r="A426" s="6">
        <v>43979</v>
      </c>
      <c r="B426" s="3" t="s">
        <v>20</v>
      </c>
      <c r="C426" s="3">
        <v>20</v>
      </c>
      <c r="D426" s="3">
        <v>1875</v>
      </c>
      <c r="E426" s="3">
        <v>1701</v>
      </c>
    </row>
    <row r="427" spans="1:5" ht="14.25" customHeight="1" x14ac:dyDescent="0.45">
      <c r="A427" s="6">
        <v>43979</v>
      </c>
      <c r="B427" s="3" t="s">
        <v>22</v>
      </c>
      <c r="C427" s="3">
        <v>54</v>
      </c>
      <c r="D427" s="3">
        <v>12409</v>
      </c>
      <c r="E427" s="3">
        <v>11582</v>
      </c>
    </row>
    <row r="428" spans="1:5" ht="14.25" customHeight="1" x14ac:dyDescent="0.45">
      <c r="A428" s="6">
        <v>43979</v>
      </c>
      <c r="B428" s="3" t="s">
        <v>21</v>
      </c>
      <c r="C428" s="3">
        <v>60</v>
      </c>
      <c r="D428" s="3">
        <v>12854</v>
      </c>
      <c r="E428" s="3">
        <v>11954</v>
      </c>
    </row>
    <row r="429" spans="1:5" ht="14.25" customHeight="1" x14ac:dyDescent="0.45">
      <c r="A429" s="6">
        <v>43979</v>
      </c>
      <c r="B429" s="3" t="s">
        <v>13</v>
      </c>
      <c r="C429" s="3">
        <v>20</v>
      </c>
      <c r="D429" s="3">
        <v>2088</v>
      </c>
      <c r="E429" s="3">
        <v>1848</v>
      </c>
    </row>
    <row r="430" spans="1:5" ht="14.25" customHeight="1" x14ac:dyDescent="0.45">
      <c r="A430" s="6">
        <v>43979</v>
      </c>
      <c r="B430" s="3" t="s">
        <v>23</v>
      </c>
      <c r="C430" s="3">
        <v>18</v>
      </c>
      <c r="D430" s="3">
        <v>1020</v>
      </c>
      <c r="E430" s="3">
        <v>911</v>
      </c>
    </row>
    <row r="431" spans="1:5" ht="14.25" customHeight="1" x14ac:dyDescent="0.45">
      <c r="A431" s="6">
        <v>43979</v>
      </c>
      <c r="B431" s="3" t="s">
        <v>18</v>
      </c>
      <c r="C431" s="3">
        <v>17</v>
      </c>
      <c r="D431" s="3">
        <v>1097</v>
      </c>
      <c r="E431" s="3">
        <v>968</v>
      </c>
    </row>
    <row r="432" spans="1:5" ht="14.25" customHeight="1" x14ac:dyDescent="0.45">
      <c r="A432" s="6">
        <v>43979</v>
      </c>
      <c r="B432" s="3" t="s">
        <v>19</v>
      </c>
      <c r="C432" s="3">
        <v>16</v>
      </c>
      <c r="D432" s="3">
        <v>876</v>
      </c>
      <c r="E432" s="3">
        <v>762</v>
      </c>
    </row>
    <row r="433" spans="1:5" ht="14.25" customHeight="1" x14ac:dyDescent="0.45">
      <c r="A433" s="6">
        <v>43979</v>
      </c>
      <c r="B433" s="3" t="s">
        <v>9</v>
      </c>
      <c r="C433" s="3">
        <v>15</v>
      </c>
      <c r="D433" s="3">
        <v>464</v>
      </c>
      <c r="E433" s="3">
        <v>390</v>
      </c>
    </row>
    <row r="434" spans="1:5" ht="14.25" customHeight="1" x14ac:dyDescent="0.45">
      <c r="A434" s="6">
        <v>43979</v>
      </c>
      <c r="B434" s="3" t="s">
        <v>15</v>
      </c>
      <c r="C434" s="3">
        <v>124</v>
      </c>
      <c r="D434" s="3">
        <v>20868</v>
      </c>
      <c r="E434" s="3">
        <v>19342</v>
      </c>
    </row>
    <row r="435" spans="1:5" ht="14.25" customHeight="1" x14ac:dyDescent="0.45">
      <c r="A435" s="6">
        <v>43979</v>
      </c>
      <c r="B435" s="3" t="s">
        <v>14</v>
      </c>
      <c r="C435" s="3">
        <v>129</v>
      </c>
      <c r="D435" s="3">
        <v>16453</v>
      </c>
      <c r="E435" s="3">
        <v>15289</v>
      </c>
    </row>
    <row r="436" spans="1:5" ht="14.25" customHeight="1" x14ac:dyDescent="0.45">
      <c r="A436" s="6">
        <v>43979</v>
      </c>
      <c r="B436" s="3" t="s">
        <v>12</v>
      </c>
      <c r="C436" s="3">
        <v>10</v>
      </c>
      <c r="D436" s="3">
        <v>791</v>
      </c>
      <c r="E436" s="3">
        <v>697</v>
      </c>
    </row>
    <row r="437" spans="1:5" ht="14.25" customHeight="1" x14ac:dyDescent="0.45">
      <c r="A437" s="6">
        <v>43979</v>
      </c>
      <c r="B437" s="3" t="s">
        <v>24</v>
      </c>
      <c r="C437" s="3">
        <v>7</v>
      </c>
      <c r="D437" s="3">
        <v>420</v>
      </c>
      <c r="E437" s="3">
        <v>347</v>
      </c>
    </row>
    <row r="438" spans="1:5" ht="14.25" customHeight="1" x14ac:dyDescent="0.45">
      <c r="A438" s="6">
        <v>43980</v>
      </c>
      <c r="B438" s="3" t="s">
        <v>16</v>
      </c>
      <c r="C438" s="3">
        <v>37</v>
      </c>
      <c r="D438" s="3">
        <v>5672</v>
      </c>
      <c r="E438" s="3">
        <v>5198</v>
      </c>
    </row>
    <row r="439" spans="1:5" ht="14.25" customHeight="1" x14ac:dyDescent="0.45">
      <c r="A439" s="6">
        <v>43980</v>
      </c>
      <c r="B439" s="3" t="s">
        <v>11</v>
      </c>
      <c r="C439" s="3">
        <v>31</v>
      </c>
      <c r="D439" s="3">
        <v>5751</v>
      </c>
      <c r="E439" s="3">
        <v>5319</v>
      </c>
    </row>
    <row r="440" spans="1:5" ht="14.25" customHeight="1" x14ac:dyDescent="0.45">
      <c r="A440" s="6">
        <v>43980</v>
      </c>
      <c r="B440" s="3" t="s">
        <v>17</v>
      </c>
      <c r="C440" s="3">
        <v>22</v>
      </c>
      <c r="D440" s="3">
        <v>2597</v>
      </c>
      <c r="E440" s="3">
        <v>2379</v>
      </c>
    </row>
    <row r="441" spans="1:5" ht="14.25" customHeight="1" x14ac:dyDescent="0.45">
      <c r="A441" s="6">
        <v>43980</v>
      </c>
      <c r="B441" s="3" t="s">
        <v>10</v>
      </c>
      <c r="C441" s="3">
        <v>20</v>
      </c>
      <c r="D441" s="3">
        <v>2111</v>
      </c>
      <c r="E441" s="3">
        <v>1917</v>
      </c>
    </row>
    <row r="442" spans="1:5" ht="14.25" customHeight="1" x14ac:dyDescent="0.45">
      <c r="A442" s="6">
        <v>43980</v>
      </c>
      <c r="B442" s="3" t="s">
        <v>20</v>
      </c>
      <c r="C442" s="3">
        <v>20</v>
      </c>
      <c r="D442" s="3">
        <v>2064</v>
      </c>
      <c r="E442" s="3">
        <v>1896</v>
      </c>
    </row>
    <row r="443" spans="1:5" ht="14.25" customHeight="1" x14ac:dyDescent="0.45">
      <c r="A443" s="6">
        <v>43980</v>
      </c>
      <c r="B443" s="3" t="s">
        <v>22</v>
      </c>
      <c r="C443" s="3">
        <v>54</v>
      </c>
      <c r="D443" s="3">
        <v>14031</v>
      </c>
      <c r="E443" s="3">
        <v>12943</v>
      </c>
    </row>
    <row r="444" spans="1:5" ht="14.25" customHeight="1" x14ac:dyDescent="0.45">
      <c r="A444" s="6">
        <v>43980</v>
      </c>
      <c r="B444" s="3" t="s">
        <v>21</v>
      </c>
      <c r="C444" s="3">
        <v>59</v>
      </c>
      <c r="D444" s="3">
        <v>14507</v>
      </c>
      <c r="E444" s="3">
        <v>13386</v>
      </c>
    </row>
    <row r="445" spans="1:5" ht="14.25" customHeight="1" x14ac:dyDescent="0.45">
      <c r="A445" s="6">
        <v>43980</v>
      </c>
      <c r="B445" s="3" t="s">
        <v>13</v>
      </c>
      <c r="C445" s="3">
        <v>20</v>
      </c>
      <c r="D445" s="3">
        <v>2249</v>
      </c>
      <c r="E445" s="3">
        <v>2000</v>
      </c>
    </row>
    <row r="446" spans="1:5" ht="14.25" customHeight="1" x14ac:dyDescent="0.45">
      <c r="A446" s="6">
        <v>43980</v>
      </c>
      <c r="B446" s="3" t="s">
        <v>23</v>
      </c>
      <c r="C446" s="3">
        <v>18</v>
      </c>
      <c r="D446" s="3">
        <v>1014</v>
      </c>
      <c r="E446" s="3">
        <v>893</v>
      </c>
    </row>
    <row r="447" spans="1:5" ht="14.25" customHeight="1" x14ac:dyDescent="0.45">
      <c r="A447" s="6">
        <v>43980</v>
      </c>
      <c r="B447" s="3" t="s">
        <v>18</v>
      </c>
      <c r="C447" s="3">
        <v>17</v>
      </c>
      <c r="D447" s="3">
        <v>1296</v>
      </c>
      <c r="E447" s="3">
        <v>1153</v>
      </c>
    </row>
    <row r="448" spans="1:5" ht="14.25" customHeight="1" x14ac:dyDescent="0.45">
      <c r="A448" s="6">
        <v>43980</v>
      </c>
      <c r="B448" s="3" t="s">
        <v>19</v>
      </c>
      <c r="C448" s="3">
        <v>16</v>
      </c>
      <c r="D448" s="3">
        <v>981</v>
      </c>
      <c r="E448" s="3">
        <v>859</v>
      </c>
    </row>
    <row r="449" spans="1:5" ht="14.25" customHeight="1" x14ac:dyDescent="0.45">
      <c r="A449" s="6">
        <v>43980</v>
      </c>
      <c r="B449" s="3" t="s">
        <v>9</v>
      </c>
      <c r="C449" s="3">
        <v>15</v>
      </c>
      <c r="D449" s="3">
        <v>400</v>
      </c>
      <c r="E449" s="3">
        <v>329</v>
      </c>
    </row>
    <row r="450" spans="1:5" ht="14.25" customHeight="1" x14ac:dyDescent="0.45">
      <c r="A450" s="6">
        <v>43980</v>
      </c>
      <c r="B450" s="3" t="s">
        <v>15</v>
      </c>
      <c r="C450" s="3">
        <v>124</v>
      </c>
      <c r="D450" s="3">
        <v>25828</v>
      </c>
      <c r="E450" s="3">
        <v>23974</v>
      </c>
    </row>
    <row r="451" spans="1:5" ht="14.25" customHeight="1" x14ac:dyDescent="0.45">
      <c r="A451" s="6">
        <v>43980</v>
      </c>
      <c r="B451" s="3" t="s">
        <v>14</v>
      </c>
      <c r="C451" s="3">
        <v>129</v>
      </c>
      <c r="D451" s="3">
        <v>22403</v>
      </c>
      <c r="E451" s="3">
        <v>20676</v>
      </c>
    </row>
    <row r="452" spans="1:5" ht="14.25" customHeight="1" x14ac:dyDescent="0.45">
      <c r="A452" s="6">
        <v>43980</v>
      </c>
      <c r="B452" s="3" t="s">
        <v>12</v>
      </c>
      <c r="C452" s="3">
        <v>10</v>
      </c>
      <c r="D452" s="3">
        <v>873</v>
      </c>
      <c r="E452" s="3">
        <v>770</v>
      </c>
    </row>
    <row r="453" spans="1:5" ht="14.25" customHeight="1" x14ac:dyDescent="0.45">
      <c r="A453" s="6">
        <v>43980</v>
      </c>
      <c r="B453" s="3" t="s">
        <v>24</v>
      </c>
      <c r="C453" s="3">
        <v>7</v>
      </c>
      <c r="D453" s="3">
        <v>491</v>
      </c>
      <c r="E453" s="3">
        <v>411</v>
      </c>
    </row>
    <row r="454" spans="1:5" ht="14.25" customHeight="1" x14ac:dyDescent="0.45">
      <c r="A454" s="6">
        <v>43981</v>
      </c>
      <c r="B454" s="3" t="s">
        <v>16</v>
      </c>
      <c r="C454" s="3">
        <v>37</v>
      </c>
      <c r="D454" s="3">
        <v>6645</v>
      </c>
      <c r="E454" s="3">
        <v>6122</v>
      </c>
    </row>
    <row r="455" spans="1:5" ht="14.25" customHeight="1" x14ac:dyDescent="0.45">
      <c r="A455" s="6">
        <v>43981</v>
      </c>
      <c r="B455" s="3" t="s">
        <v>11</v>
      </c>
      <c r="C455" s="3">
        <v>31</v>
      </c>
      <c r="D455" s="3">
        <v>6735</v>
      </c>
      <c r="E455" s="3">
        <v>6264</v>
      </c>
    </row>
    <row r="456" spans="1:5" ht="14.25" customHeight="1" x14ac:dyDescent="0.45">
      <c r="A456" s="6">
        <v>43981</v>
      </c>
      <c r="B456" s="3" t="s">
        <v>17</v>
      </c>
      <c r="C456" s="3">
        <v>22</v>
      </c>
      <c r="D456" s="3">
        <v>2793</v>
      </c>
      <c r="E456" s="3">
        <v>2539</v>
      </c>
    </row>
    <row r="457" spans="1:5" ht="14.25" customHeight="1" x14ac:dyDescent="0.45">
      <c r="A457" s="6">
        <v>43981</v>
      </c>
      <c r="B457" s="3" t="s">
        <v>10</v>
      </c>
      <c r="C457" s="3">
        <v>20</v>
      </c>
      <c r="D457" s="3">
        <v>2597</v>
      </c>
      <c r="E457" s="3">
        <v>2376</v>
      </c>
    </row>
    <row r="458" spans="1:5" ht="14.25" customHeight="1" x14ac:dyDescent="0.45">
      <c r="A458" s="6">
        <v>43981</v>
      </c>
      <c r="B458" s="3" t="s">
        <v>20</v>
      </c>
      <c r="C458" s="3">
        <v>20</v>
      </c>
      <c r="D458" s="3">
        <v>2174</v>
      </c>
      <c r="E458" s="3">
        <v>1957</v>
      </c>
    </row>
    <row r="459" spans="1:5" ht="14.25" customHeight="1" x14ac:dyDescent="0.45">
      <c r="A459" s="6">
        <v>43981</v>
      </c>
      <c r="B459" s="3" t="s">
        <v>22</v>
      </c>
      <c r="C459" s="3">
        <v>54</v>
      </c>
      <c r="D459" s="3">
        <v>14590</v>
      </c>
      <c r="E459" s="3">
        <v>13551</v>
      </c>
    </row>
    <row r="460" spans="1:5" ht="14.25" customHeight="1" x14ac:dyDescent="0.45">
      <c r="A460" s="6">
        <v>43981</v>
      </c>
      <c r="B460" s="3" t="s">
        <v>21</v>
      </c>
      <c r="C460" s="3">
        <v>59</v>
      </c>
      <c r="D460" s="3">
        <v>15030</v>
      </c>
      <c r="E460" s="3">
        <v>13956</v>
      </c>
    </row>
    <row r="461" spans="1:5" ht="14.25" customHeight="1" x14ac:dyDescent="0.45">
      <c r="A461" s="6">
        <v>43981</v>
      </c>
      <c r="B461" s="3" t="s">
        <v>13</v>
      </c>
      <c r="C461" s="3">
        <v>20</v>
      </c>
      <c r="D461" s="3">
        <v>2451</v>
      </c>
      <c r="E461" s="3">
        <v>2178</v>
      </c>
    </row>
    <row r="462" spans="1:5" ht="14.25" customHeight="1" x14ac:dyDescent="0.45">
      <c r="A462" s="6">
        <v>43981</v>
      </c>
      <c r="B462" s="3" t="s">
        <v>23</v>
      </c>
      <c r="C462" s="3">
        <v>18</v>
      </c>
      <c r="D462" s="3">
        <v>1216</v>
      </c>
      <c r="E462" s="3">
        <v>1101</v>
      </c>
    </row>
    <row r="463" spans="1:5" ht="14.25" customHeight="1" x14ac:dyDescent="0.45">
      <c r="A463" s="6">
        <v>43981</v>
      </c>
      <c r="B463" s="3" t="s">
        <v>18</v>
      </c>
      <c r="C463" s="3">
        <v>17</v>
      </c>
      <c r="D463" s="3">
        <v>1697</v>
      </c>
      <c r="E463" s="3">
        <v>1499</v>
      </c>
    </row>
    <row r="464" spans="1:5" ht="14.25" customHeight="1" x14ac:dyDescent="0.45">
      <c r="A464" s="6">
        <v>43981</v>
      </c>
      <c r="B464" s="3" t="s">
        <v>19</v>
      </c>
      <c r="C464" s="3">
        <v>16</v>
      </c>
      <c r="D464" s="3">
        <v>1048</v>
      </c>
      <c r="E464" s="3">
        <v>918</v>
      </c>
    </row>
    <row r="465" spans="1:5" ht="14.25" customHeight="1" x14ac:dyDescent="0.45">
      <c r="A465" s="6">
        <v>43981</v>
      </c>
      <c r="B465" s="3" t="s">
        <v>9</v>
      </c>
      <c r="C465" s="3">
        <v>15</v>
      </c>
      <c r="D465" s="3">
        <v>490</v>
      </c>
      <c r="E465" s="3">
        <v>409</v>
      </c>
    </row>
    <row r="466" spans="1:5" ht="14.25" customHeight="1" x14ac:dyDescent="0.45">
      <c r="A466" s="6">
        <v>43981</v>
      </c>
      <c r="B466" s="3" t="s">
        <v>15</v>
      </c>
      <c r="C466" s="3">
        <v>124</v>
      </c>
      <c r="D466" s="3">
        <v>24325</v>
      </c>
      <c r="E466" s="3">
        <v>22469</v>
      </c>
    </row>
    <row r="467" spans="1:5" ht="14.25" customHeight="1" x14ac:dyDescent="0.45">
      <c r="A467" s="6">
        <v>43981</v>
      </c>
      <c r="B467" s="3" t="s">
        <v>14</v>
      </c>
      <c r="C467" s="3">
        <v>129</v>
      </c>
      <c r="D467" s="3">
        <v>20243</v>
      </c>
      <c r="E467" s="3">
        <v>18711</v>
      </c>
    </row>
    <row r="468" spans="1:5" ht="14.25" customHeight="1" x14ac:dyDescent="0.45">
      <c r="A468" s="6">
        <v>43981</v>
      </c>
      <c r="B468" s="3" t="s">
        <v>12</v>
      </c>
      <c r="C468" s="3">
        <v>10</v>
      </c>
      <c r="D468" s="3">
        <v>865</v>
      </c>
      <c r="E468" s="3">
        <v>763</v>
      </c>
    </row>
    <row r="469" spans="1:5" ht="14.25" customHeight="1" x14ac:dyDescent="0.45">
      <c r="A469" s="6">
        <v>43981</v>
      </c>
      <c r="B469" s="3" t="s">
        <v>24</v>
      </c>
      <c r="C469" s="3">
        <v>7</v>
      </c>
      <c r="D469" s="3">
        <v>532</v>
      </c>
      <c r="E469" s="3">
        <v>449</v>
      </c>
    </row>
    <row r="470" spans="1:5" ht="14.25" customHeight="1" x14ac:dyDescent="0.45">
      <c r="A470" s="6">
        <v>43982</v>
      </c>
      <c r="B470" s="3" t="s">
        <v>16</v>
      </c>
      <c r="C470" s="3">
        <v>37</v>
      </c>
      <c r="D470" s="3">
        <v>5215</v>
      </c>
      <c r="E470" s="3">
        <v>4848</v>
      </c>
    </row>
    <row r="471" spans="1:5" ht="14.25" customHeight="1" x14ac:dyDescent="0.45">
      <c r="A471" s="6">
        <v>43982</v>
      </c>
      <c r="B471" s="3" t="s">
        <v>11</v>
      </c>
      <c r="C471" s="3">
        <v>31</v>
      </c>
      <c r="D471" s="3">
        <v>5760</v>
      </c>
      <c r="E471" s="3">
        <v>5367</v>
      </c>
    </row>
    <row r="472" spans="1:5" ht="14.25" customHeight="1" x14ac:dyDescent="0.45">
      <c r="A472" s="6">
        <v>43982</v>
      </c>
      <c r="B472" s="3" t="s">
        <v>17</v>
      </c>
      <c r="C472" s="3">
        <v>23</v>
      </c>
      <c r="D472" s="3">
        <v>2522</v>
      </c>
      <c r="E472" s="3">
        <v>2295</v>
      </c>
    </row>
    <row r="473" spans="1:5" ht="14.25" customHeight="1" x14ac:dyDescent="0.45">
      <c r="A473" s="6">
        <v>43982</v>
      </c>
      <c r="B473" s="3" t="s">
        <v>10</v>
      </c>
      <c r="C473" s="3">
        <v>21</v>
      </c>
      <c r="D473" s="3">
        <v>2271</v>
      </c>
      <c r="E473" s="3">
        <v>2085</v>
      </c>
    </row>
    <row r="474" spans="1:5" ht="14.25" customHeight="1" x14ac:dyDescent="0.45">
      <c r="A474" s="6">
        <v>43982</v>
      </c>
      <c r="B474" s="3" t="s">
        <v>20</v>
      </c>
      <c r="C474" s="3">
        <v>21</v>
      </c>
      <c r="D474" s="3">
        <v>2056</v>
      </c>
      <c r="E474" s="3">
        <v>1879</v>
      </c>
    </row>
    <row r="475" spans="1:5" ht="14.25" customHeight="1" x14ac:dyDescent="0.45">
      <c r="A475" s="6">
        <v>43982</v>
      </c>
      <c r="B475" s="3" t="s">
        <v>22</v>
      </c>
      <c r="C475" s="3">
        <v>54</v>
      </c>
      <c r="D475" s="3">
        <v>13106</v>
      </c>
      <c r="E475" s="3">
        <v>12164</v>
      </c>
    </row>
    <row r="476" spans="1:5" ht="14.25" customHeight="1" x14ac:dyDescent="0.45">
      <c r="A476" s="6">
        <v>43982</v>
      </c>
      <c r="B476" s="3" t="s">
        <v>21</v>
      </c>
      <c r="C476" s="3">
        <v>59</v>
      </c>
      <c r="D476" s="3">
        <v>13684</v>
      </c>
      <c r="E476" s="3">
        <v>12690</v>
      </c>
    </row>
    <row r="477" spans="1:5" ht="14.25" customHeight="1" x14ac:dyDescent="0.45">
      <c r="A477" s="6">
        <v>43982</v>
      </c>
      <c r="B477" s="3" t="s">
        <v>13</v>
      </c>
      <c r="C477" s="3">
        <v>20</v>
      </c>
      <c r="D477" s="3">
        <v>2060</v>
      </c>
      <c r="E477" s="3">
        <v>1826</v>
      </c>
    </row>
    <row r="478" spans="1:5" ht="14.25" customHeight="1" x14ac:dyDescent="0.45">
      <c r="A478" s="6">
        <v>43982</v>
      </c>
      <c r="B478" s="3" t="s">
        <v>23</v>
      </c>
      <c r="C478" s="3">
        <v>18</v>
      </c>
      <c r="D478" s="3">
        <v>1029</v>
      </c>
      <c r="E478" s="3">
        <v>925</v>
      </c>
    </row>
    <row r="479" spans="1:5" ht="14.25" customHeight="1" x14ac:dyDescent="0.45">
      <c r="A479" s="6">
        <v>43982</v>
      </c>
      <c r="B479" s="3" t="s">
        <v>18</v>
      </c>
      <c r="C479" s="3">
        <v>17</v>
      </c>
      <c r="D479" s="3">
        <v>1186</v>
      </c>
      <c r="E479" s="3">
        <v>1054</v>
      </c>
    </row>
    <row r="480" spans="1:5" ht="14.25" customHeight="1" x14ac:dyDescent="0.45">
      <c r="A480" s="6">
        <v>43982</v>
      </c>
      <c r="B480" s="3" t="s">
        <v>19</v>
      </c>
      <c r="C480" s="3">
        <v>16</v>
      </c>
      <c r="D480" s="3">
        <v>917</v>
      </c>
      <c r="E480" s="3">
        <v>802</v>
      </c>
    </row>
    <row r="481" spans="1:5" ht="14.25" customHeight="1" x14ac:dyDescent="0.45">
      <c r="A481" s="6">
        <v>43982</v>
      </c>
      <c r="B481" s="3" t="s">
        <v>9</v>
      </c>
      <c r="C481" s="3">
        <v>15</v>
      </c>
      <c r="D481" s="3">
        <v>441</v>
      </c>
      <c r="E481" s="3">
        <v>368</v>
      </c>
    </row>
    <row r="482" spans="1:5" ht="14.25" customHeight="1" x14ac:dyDescent="0.45">
      <c r="A482" s="6">
        <v>43982</v>
      </c>
      <c r="B482" s="3" t="s">
        <v>15</v>
      </c>
      <c r="C482" s="3">
        <v>124</v>
      </c>
      <c r="D482" s="3">
        <v>21392</v>
      </c>
      <c r="E482" s="3">
        <v>19869</v>
      </c>
    </row>
    <row r="483" spans="1:5" ht="14.25" customHeight="1" x14ac:dyDescent="0.45">
      <c r="A483" s="6">
        <v>43982</v>
      </c>
      <c r="B483" s="3" t="s">
        <v>14</v>
      </c>
      <c r="C483" s="3">
        <v>129</v>
      </c>
      <c r="D483" s="3">
        <v>17235</v>
      </c>
      <c r="E483" s="3">
        <v>16052</v>
      </c>
    </row>
    <row r="484" spans="1:5" ht="14.25" customHeight="1" x14ac:dyDescent="0.45">
      <c r="A484" s="6">
        <v>43982</v>
      </c>
      <c r="B484" s="3" t="s">
        <v>12</v>
      </c>
      <c r="C484" s="3">
        <v>10</v>
      </c>
      <c r="D484" s="3">
        <v>749</v>
      </c>
      <c r="E484" s="3">
        <v>655</v>
      </c>
    </row>
    <row r="485" spans="1:5" ht="14.25" customHeight="1" x14ac:dyDescent="0.45">
      <c r="A485" s="6">
        <v>43982</v>
      </c>
      <c r="B485" s="3" t="s">
        <v>25</v>
      </c>
      <c r="C485" s="3">
        <v>9</v>
      </c>
      <c r="D485" s="3">
        <v>345</v>
      </c>
      <c r="E485" s="3">
        <v>255</v>
      </c>
    </row>
    <row r="486" spans="1:5" ht="14.25" customHeight="1" x14ac:dyDescent="0.45">
      <c r="A486" s="6">
        <v>43982</v>
      </c>
      <c r="B486" s="3" t="s">
        <v>24</v>
      </c>
      <c r="C486" s="3">
        <v>7</v>
      </c>
      <c r="D486" s="3">
        <v>530</v>
      </c>
      <c r="E486" s="3">
        <v>447</v>
      </c>
    </row>
    <row r="487" spans="1:5" ht="14.25" customHeight="1" x14ac:dyDescent="0.45">
      <c r="A487" s="6">
        <v>43982</v>
      </c>
      <c r="B487" s="3" t="s">
        <v>26</v>
      </c>
      <c r="C487" s="3">
        <v>6</v>
      </c>
      <c r="D487" s="3">
        <v>261</v>
      </c>
      <c r="E487" s="3">
        <v>188</v>
      </c>
    </row>
    <row r="488" spans="1:5" ht="14.25" customHeight="1" x14ac:dyDescent="0.45">
      <c r="A488" s="6">
        <v>43983</v>
      </c>
      <c r="B488" s="3" t="s">
        <v>16</v>
      </c>
      <c r="C488" s="3">
        <v>37</v>
      </c>
      <c r="D488" s="3">
        <v>4722</v>
      </c>
      <c r="E488" s="3">
        <v>4352</v>
      </c>
    </row>
    <row r="489" spans="1:5" ht="14.25" customHeight="1" x14ac:dyDescent="0.45">
      <c r="A489" s="6">
        <v>43983</v>
      </c>
      <c r="B489" s="3" t="s">
        <v>11</v>
      </c>
      <c r="C489" s="3">
        <v>31</v>
      </c>
      <c r="D489" s="3">
        <v>5468</v>
      </c>
      <c r="E489" s="3">
        <v>5081</v>
      </c>
    </row>
    <row r="490" spans="1:5" ht="14.25" customHeight="1" x14ac:dyDescent="0.45">
      <c r="A490" s="6">
        <v>43983</v>
      </c>
      <c r="B490" s="3" t="s">
        <v>17</v>
      </c>
      <c r="C490" s="3">
        <v>23</v>
      </c>
      <c r="D490" s="3">
        <v>2531</v>
      </c>
      <c r="E490" s="3">
        <v>2296</v>
      </c>
    </row>
    <row r="491" spans="1:5" ht="14.25" customHeight="1" x14ac:dyDescent="0.45">
      <c r="A491" s="6">
        <v>43983</v>
      </c>
      <c r="B491" s="3" t="s">
        <v>10</v>
      </c>
      <c r="C491" s="3">
        <v>21</v>
      </c>
      <c r="D491" s="3">
        <v>2025</v>
      </c>
      <c r="E491" s="3">
        <v>1849</v>
      </c>
    </row>
    <row r="492" spans="1:5" ht="14.25" customHeight="1" x14ac:dyDescent="0.45">
      <c r="A492" s="6">
        <v>43983</v>
      </c>
      <c r="B492" s="3" t="s">
        <v>20</v>
      </c>
      <c r="C492" s="3">
        <v>21</v>
      </c>
      <c r="D492" s="3">
        <v>1879</v>
      </c>
      <c r="E492" s="3">
        <v>1720</v>
      </c>
    </row>
    <row r="493" spans="1:5" ht="14.25" customHeight="1" x14ac:dyDescent="0.45">
      <c r="A493" s="6">
        <v>43983</v>
      </c>
      <c r="B493" s="3" t="s">
        <v>22</v>
      </c>
      <c r="C493" s="3">
        <v>54</v>
      </c>
      <c r="D493" s="3">
        <v>11864</v>
      </c>
      <c r="E493" s="3">
        <v>11071</v>
      </c>
    </row>
    <row r="494" spans="1:5" ht="14.25" customHeight="1" x14ac:dyDescent="0.45">
      <c r="A494" s="6">
        <v>43983</v>
      </c>
      <c r="B494" s="3" t="s">
        <v>21</v>
      </c>
      <c r="C494" s="3">
        <v>59</v>
      </c>
      <c r="D494" s="3">
        <v>12299</v>
      </c>
      <c r="E494" s="3">
        <v>11448</v>
      </c>
    </row>
    <row r="495" spans="1:5" ht="14.25" customHeight="1" x14ac:dyDescent="0.45">
      <c r="A495" s="6">
        <v>43983</v>
      </c>
      <c r="B495" s="3" t="s">
        <v>13</v>
      </c>
      <c r="C495" s="3">
        <v>20</v>
      </c>
      <c r="D495" s="3">
        <v>2136</v>
      </c>
      <c r="E495" s="3">
        <v>1899</v>
      </c>
    </row>
    <row r="496" spans="1:5" ht="14.25" customHeight="1" x14ac:dyDescent="0.45">
      <c r="A496" s="6">
        <v>43983</v>
      </c>
      <c r="B496" s="3" t="s">
        <v>23</v>
      </c>
      <c r="C496" s="3">
        <v>18</v>
      </c>
      <c r="D496" s="3">
        <v>923</v>
      </c>
      <c r="E496" s="3">
        <v>824</v>
      </c>
    </row>
    <row r="497" spans="1:5" ht="14.25" customHeight="1" x14ac:dyDescent="0.45">
      <c r="A497" s="6">
        <v>43983</v>
      </c>
      <c r="B497" s="3" t="s">
        <v>18</v>
      </c>
      <c r="C497" s="3">
        <v>17</v>
      </c>
      <c r="D497" s="3">
        <v>1185</v>
      </c>
      <c r="E497" s="3">
        <v>1042</v>
      </c>
    </row>
    <row r="498" spans="1:5" ht="14.25" customHeight="1" x14ac:dyDescent="0.45">
      <c r="A498" s="6">
        <v>43983</v>
      </c>
      <c r="B498" s="3" t="s">
        <v>19</v>
      </c>
      <c r="C498" s="3">
        <v>16</v>
      </c>
      <c r="D498" s="3">
        <v>1019</v>
      </c>
      <c r="E498" s="3">
        <v>895</v>
      </c>
    </row>
    <row r="499" spans="1:5" ht="14.25" customHeight="1" x14ac:dyDescent="0.45">
      <c r="A499" s="6">
        <v>43983</v>
      </c>
      <c r="B499" s="3" t="s">
        <v>9</v>
      </c>
      <c r="C499" s="3">
        <v>15</v>
      </c>
      <c r="D499" s="3">
        <v>453</v>
      </c>
      <c r="E499" s="3">
        <v>370</v>
      </c>
    </row>
    <row r="500" spans="1:5" ht="14.25" customHeight="1" x14ac:dyDescent="0.45">
      <c r="A500" s="6">
        <v>43983</v>
      </c>
      <c r="B500" s="3" t="s">
        <v>15</v>
      </c>
      <c r="C500" s="3">
        <v>123</v>
      </c>
      <c r="D500" s="3">
        <v>20325</v>
      </c>
      <c r="E500" s="3">
        <v>18935</v>
      </c>
    </row>
    <row r="501" spans="1:5" ht="14.25" customHeight="1" x14ac:dyDescent="0.45">
      <c r="A501" s="6">
        <v>43983</v>
      </c>
      <c r="B501" s="3" t="s">
        <v>14</v>
      </c>
      <c r="C501" s="3">
        <v>128</v>
      </c>
      <c r="D501" s="3">
        <v>16285</v>
      </c>
      <c r="E501" s="3">
        <v>15130</v>
      </c>
    </row>
    <row r="502" spans="1:5" ht="14.25" customHeight="1" x14ac:dyDescent="0.45">
      <c r="A502" s="6">
        <v>43983</v>
      </c>
      <c r="B502" s="3" t="s">
        <v>12</v>
      </c>
      <c r="C502" s="3">
        <v>10</v>
      </c>
      <c r="D502" s="3">
        <v>719</v>
      </c>
      <c r="E502" s="3">
        <v>627</v>
      </c>
    </row>
    <row r="503" spans="1:5" ht="14.25" customHeight="1" x14ac:dyDescent="0.45">
      <c r="A503" s="6">
        <v>43983</v>
      </c>
      <c r="B503" s="3" t="s">
        <v>25</v>
      </c>
      <c r="C503" s="3">
        <v>9</v>
      </c>
      <c r="D503" s="3">
        <v>294</v>
      </c>
      <c r="E503" s="3">
        <v>224</v>
      </c>
    </row>
    <row r="504" spans="1:5" ht="14.25" customHeight="1" x14ac:dyDescent="0.45">
      <c r="A504" s="6">
        <v>43983</v>
      </c>
      <c r="B504" s="3" t="s">
        <v>24</v>
      </c>
      <c r="C504" s="3">
        <v>7</v>
      </c>
      <c r="D504" s="3">
        <v>500</v>
      </c>
      <c r="E504" s="3">
        <v>418</v>
      </c>
    </row>
    <row r="505" spans="1:5" ht="14.25" customHeight="1" x14ac:dyDescent="0.45">
      <c r="A505" s="6">
        <v>43983</v>
      </c>
      <c r="B505" s="3" t="s">
        <v>26</v>
      </c>
      <c r="C505" s="3">
        <v>6</v>
      </c>
      <c r="D505" s="3">
        <v>237</v>
      </c>
      <c r="E505" s="3">
        <v>175</v>
      </c>
    </row>
    <row r="506" spans="1:5" ht="14.25" customHeight="1" x14ac:dyDescent="0.45"/>
    <row r="507" spans="1:5" ht="14.25" customHeight="1" x14ac:dyDescent="0.45"/>
    <row r="508" spans="1:5" ht="14.25" customHeight="1" x14ac:dyDescent="0.45"/>
    <row r="509" spans="1:5" ht="14.25" customHeight="1" x14ac:dyDescent="0.45"/>
    <row r="510" spans="1:5" ht="14.25" customHeight="1" x14ac:dyDescent="0.45"/>
    <row r="511" spans="1:5" ht="14.25" customHeight="1" x14ac:dyDescent="0.45"/>
    <row r="512" spans="1:5" ht="14.25" customHeight="1" x14ac:dyDescent="0.45"/>
    <row r="513" ht="14.25" customHeight="1" x14ac:dyDescent="0.45"/>
    <row r="514" ht="14.25" customHeight="1" x14ac:dyDescent="0.45"/>
    <row r="515" ht="14.25" customHeight="1" x14ac:dyDescent="0.45"/>
    <row r="516" ht="14.25" customHeight="1" x14ac:dyDescent="0.45"/>
    <row r="517" ht="14.25" customHeight="1" x14ac:dyDescent="0.45"/>
    <row r="518" ht="14.25" customHeight="1" x14ac:dyDescent="0.45"/>
    <row r="519" ht="14.25" customHeight="1" x14ac:dyDescent="0.45"/>
    <row r="520" ht="14.25" customHeight="1" x14ac:dyDescent="0.45"/>
    <row r="521" ht="14.25" customHeight="1" x14ac:dyDescent="0.45"/>
    <row r="522" ht="14.25" customHeight="1" x14ac:dyDescent="0.45"/>
    <row r="523" ht="14.25" customHeight="1" x14ac:dyDescent="0.45"/>
    <row r="524" ht="14.25" customHeight="1" x14ac:dyDescent="0.45"/>
    <row r="525" ht="14.25" customHeight="1" x14ac:dyDescent="0.45"/>
    <row r="526" ht="14.25" customHeight="1" x14ac:dyDescent="0.45"/>
    <row r="527" ht="14.25" customHeight="1" x14ac:dyDescent="0.45"/>
    <row r="528" ht="14.25" customHeight="1" x14ac:dyDescent="0.45"/>
    <row r="529" ht="14.25" customHeight="1" x14ac:dyDescent="0.45"/>
    <row r="530" ht="14.25" customHeight="1" x14ac:dyDescent="0.45"/>
    <row r="531" ht="14.25" customHeight="1" x14ac:dyDescent="0.45"/>
    <row r="532" ht="14.25" customHeight="1" x14ac:dyDescent="0.45"/>
    <row r="533" ht="14.25" customHeight="1" x14ac:dyDescent="0.45"/>
    <row r="534" ht="14.25" customHeight="1" x14ac:dyDescent="0.45"/>
    <row r="535" ht="14.25" customHeight="1" x14ac:dyDescent="0.45"/>
    <row r="536" ht="14.25" customHeight="1" x14ac:dyDescent="0.45"/>
    <row r="537" ht="14.25" customHeight="1" x14ac:dyDescent="0.45"/>
    <row r="538" ht="14.25" customHeight="1" x14ac:dyDescent="0.45"/>
    <row r="539" ht="14.25" customHeight="1" x14ac:dyDescent="0.45"/>
    <row r="540" ht="14.25" customHeight="1" x14ac:dyDescent="0.45"/>
    <row r="541" ht="14.25" customHeight="1" x14ac:dyDescent="0.45"/>
    <row r="542" ht="14.25" customHeight="1" x14ac:dyDescent="0.45"/>
    <row r="543" ht="14.25" customHeight="1" x14ac:dyDescent="0.45"/>
    <row r="544" ht="14.25" customHeight="1" x14ac:dyDescent="0.45"/>
    <row r="545" ht="14.25" customHeight="1" x14ac:dyDescent="0.45"/>
    <row r="546" ht="14.25" customHeight="1" x14ac:dyDescent="0.45"/>
    <row r="547" ht="14.25" customHeight="1" x14ac:dyDescent="0.45"/>
    <row r="548" ht="14.25" customHeight="1" x14ac:dyDescent="0.45"/>
    <row r="549" ht="14.25" customHeight="1" x14ac:dyDescent="0.45"/>
    <row r="550" ht="14.25" customHeight="1" x14ac:dyDescent="0.45"/>
    <row r="551" ht="14.25" customHeight="1" x14ac:dyDescent="0.45"/>
    <row r="552" ht="14.25" customHeight="1" x14ac:dyDescent="0.45"/>
    <row r="553" ht="14.25" customHeight="1" x14ac:dyDescent="0.45"/>
    <row r="554" ht="14.25" customHeight="1" x14ac:dyDescent="0.45"/>
    <row r="555" ht="14.25" customHeight="1" x14ac:dyDescent="0.45"/>
    <row r="556" ht="14.25" customHeight="1" x14ac:dyDescent="0.45"/>
    <row r="557" ht="14.25" customHeight="1" x14ac:dyDescent="0.45"/>
    <row r="558" ht="14.25" customHeight="1" x14ac:dyDescent="0.45"/>
    <row r="559" ht="14.25" customHeight="1" x14ac:dyDescent="0.45"/>
    <row r="560" ht="14.25" customHeight="1" x14ac:dyDescent="0.45"/>
    <row r="561" ht="14.25" customHeight="1" x14ac:dyDescent="0.45"/>
    <row r="562" ht="14.25" customHeight="1" x14ac:dyDescent="0.45"/>
    <row r="563" ht="14.25" customHeight="1" x14ac:dyDescent="0.45"/>
    <row r="564" ht="14.25" customHeight="1" x14ac:dyDescent="0.45"/>
    <row r="565" ht="14.25" customHeight="1" x14ac:dyDescent="0.45"/>
    <row r="566" ht="14.25" customHeight="1" x14ac:dyDescent="0.45"/>
    <row r="567" ht="14.25" customHeight="1" x14ac:dyDescent="0.45"/>
    <row r="568" ht="14.25" customHeight="1" x14ac:dyDescent="0.45"/>
    <row r="569" ht="14.25" customHeight="1" x14ac:dyDescent="0.45"/>
    <row r="570" ht="14.25" customHeight="1" x14ac:dyDescent="0.45"/>
    <row r="571" ht="14.25" customHeight="1" x14ac:dyDescent="0.45"/>
    <row r="572" ht="14.25" customHeight="1" x14ac:dyDescent="0.45"/>
    <row r="573" ht="14.25" customHeight="1" x14ac:dyDescent="0.45"/>
    <row r="574" ht="14.25" customHeight="1" x14ac:dyDescent="0.45"/>
    <row r="575" ht="14.25" customHeight="1" x14ac:dyDescent="0.45"/>
    <row r="576" ht="14.25" customHeight="1" x14ac:dyDescent="0.45"/>
    <row r="577" ht="14.25" customHeight="1" x14ac:dyDescent="0.45"/>
    <row r="578" ht="14.25" customHeight="1" x14ac:dyDescent="0.45"/>
    <row r="579" ht="14.25" customHeight="1" x14ac:dyDescent="0.45"/>
    <row r="580" ht="14.25" customHeight="1" x14ac:dyDescent="0.45"/>
    <row r="581" ht="14.25" customHeight="1" x14ac:dyDescent="0.45"/>
    <row r="582" ht="14.25" customHeight="1" x14ac:dyDescent="0.45"/>
    <row r="583" ht="14.25" customHeight="1" x14ac:dyDescent="0.45"/>
    <row r="584" ht="14.25" customHeight="1" x14ac:dyDescent="0.45"/>
    <row r="585" ht="14.25" customHeight="1" x14ac:dyDescent="0.45"/>
    <row r="586" ht="14.25" customHeight="1" x14ac:dyDescent="0.45"/>
    <row r="587" ht="14.25" customHeight="1" x14ac:dyDescent="0.45"/>
    <row r="588" ht="14.25" customHeight="1" x14ac:dyDescent="0.45"/>
    <row r="589" ht="14.25" customHeight="1" x14ac:dyDescent="0.45"/>
    <row r="590" ht="14.25" customHeight="1" x14ac:dyDescent="0.45"/>
    <row r="591" ht="14.25" customHeight="1" x14ac:dyDescent="0.45"/>
    <row r="592" ht="14.25" customHeight="1" x14ac:dyDescent="0.45"/>
    <row r="593" ht="14.25" customHeight="1" x14ac:dyDescent="0.45"/>
    <row r="594" ht="14.25" customHeight="1" x14ac:dyDescent="0.45"/>
    <row r="595" ht="14.25" customHeight="1" x14ac:dyDescent="0.45"/>
    <row r="596" ht="14.25" customHeight="1" x14ac:dyDescent="0.45"/>
    <row r="597" ht="14.25" customHeight="1" x14ac:dyDescent="0.45"/>
    <row r="598" ht="14.25" customHeight="1" x14ac:dyDescent="0.45"/>
    <row r="599" ht="14.25" customHeight="1" x14ac:dyDescent="0.45"/>
    <row r="600" ht="14.25" customHeight="1" x14ac:dyDescent="0.45"/>
    <row r="601" ht="14.25" customHeight="1" x14ac:dyDescent="0.45"/>
    <row r="602" ht="14.25" customHeight="1" x14ac:dyDescent="0.45"/>
    <row r="603" ht="14.25" customHeight="1" x14ac:dyDescent="0.45"/>
    <row r="604" ht="14.25" customHeight="1" x14ac:dyDescent="0.45"/>
    <row r="605" ht="14.25" customHeight="1" x14ac:dyDescent="0.45"/>
    <row r="606" ht="14.25" customHeight="1" x14ac:dyDescent="0.45"/>
    <row r="607" ht="14.25" customHeight="1" x14ac:dyDescent="0.45"/>
    <row r="608" ht="14.25" customHeight="1" x14ac:dyDescent="0.45"/>
    <row r="609" ht="14.25" customHeight="1" x14ac:dyDescent="0.45"/>
    <row r="610" ht="14.25" customHeight="1" x14ac:dyDescent="0.45"/>
    <row r="611" ht="14.25" customHeight="1" x14ac:dyDescent="0.45"/>
    <row r="612" ht="14.25" customHeight="1" x14ac:dyDescent="0.45"/>
    <row r="613" ht="14.25" customHeight="1" x14ac:dyDescent="0.45"/>
    <row r="614" ht="14.25" customHeight="1" x14ac:dyDescent="0.45"/>
    <row r="615" ht="14.25" customHeight="1" x14ac:dyDescent="0.45"/>
    <row r="616" ht="14.25" customHeight="1" x14ac:dyDescent="0.45"/>
    <row r="617" ht="14.25" customHeight="1" x14ac:dyDescent="0.45"/>
    <row r="618" ht="14.25" customHeight="1" x14ac:dyDescent="0.45"/>
    <row r="619" ht="14.25" customHeight="1" x14ac:dyDescent="0.45"/>
    <row r="620" ht="14.25" customHeight="1" x14ac:dyDescent="0.45"/>
    <row r="621" ht="14.25" customHeight="1" x14ac:dyDescent="0.45"/>
    <row r="622" ht="14.25" customHeight="1" x14ac:dyDescent="0.45"/>
    <row r="623" ht="14.25" customHeight="1" x14ac:dyDescent="0.45"/>
    <row r="624" ht="14.25" customHeight="1" x14ac:dyDescent="0.45"/>
    <row r="625" ht="14.25" customHeight="1" x14ac:dyDescent="0.45"/>
    <row r="626" ht="14.25" customHeight="1" x14ac:dyDescent="0.45"/>
    <row r="627" ht="14.25" customHeight="1" x14ac:dyDescent="0.45"/>
    <row r="628" ht="14.25" customHeight="1" x14ac:dyDescent="0.45"/>
    <row r="629" ht="14.25" customHeight="1" x14ac:dyDescent="0.45"/>
    <row r="630" ht="14.25" customHeight="1" x14ac:dyDescent="0.45"/>
    <row r="631" ht="14.25" customHeight="1" x14ac:dyDescent="0.45"/>
    <row r="632" ht="14.25" customHeight="1" x14ac:dyDescent="0.45"/>
    <row r="633" ht="14.25" customHeight="1" x14ac:dyDescent="0.45"/>
    <row r="634" ht="14.25" customHeight="1" x14ac:dyDescent="0.45"/>
    <row r="635" ht="14.25" customHeight="1" x14ac:dyDescent="0.45"/>
    <row r="636" ht="14.25" customHeight="1" x14ac:dyDescent="0.45"/>
    <row r="637" ht="14.25" customHeight="1" x14ac:dyDescent="0.45"/>
    <row r="638" ht="14.25" customHeight="1" x14ac:dyDescent="0.45"/>
    <row r="639" ht="14.25" customHeight="1" x14ac:dyDescent="0.45"/>
    <row r="640" ht="14.25" customHeight="1" x14ac:dyDescent="0.45"/>
    <row r="641" ht="14.25" customHeight="1" x14ac:dyDescent="0.45"/>
    <row r="642" ht="14.25" customHeight="1" x14ac:dyDescent="0.45"/>
    <row r="643" ht="14.25" customHeight="1" x14ac:dyDescent="0.45"/>
    <row r="644" ht="14.25" customHeight="1" x14ac:dyDescent="0.45"/>
    <row r="645" ht="14.25" customHeight="1" x14ac:dyDescent="0.45"/>
    <row r="646" ht="14.25" customHeight="1" x14ac:dyDescent="0.45"/>
    <row r="647" ht="14.25" customHeight="1" x14ac:dyDescent="0.45"/>
    <row r="648" ht="14.25" customHeight="1" x14ac:dyDescent="0.45"/>
    <row r="649" ht="14.25" customHeight="1" x14ac:dyDescent="0.45"/>
    <row r="650" ht="14.25" customHeight="1" x14ac:dyDescent="0.45"/>
    <row r="651" ht="14.25" customHeight="1" x14ac:dyDescent="0.45"/>
    <row r="652" ht="14.25" customHeight="1" x14ac:dyDescent="0.45"/>
    <row r="653" ht="14.25" customHeight="1" x14ac:dyDescent="0.45"/>
    <row r="654" ht="14.25" customHeight="1" x14ac:dyDescent="0.45"/>
    <row r="655" ht="14.25" customHeight="1" x14ac:dyDescent="0.45"/>
    <row r="656" ht="14.25" customHeight="1" x14ac:dyDescent="0.45"/>
    <row r="657" ht="14.25" customHeight="1" x14ac:dyDescent="0.45"/>
    <row r="658" ht="14.25" customHeight="1" x14ac:dyDescent="0.45"/>
    <row r="659" ht="14.25" customHeight="1" x14ac:dyDescent="0.45"/>
    <row r="660" ht="14.25" customHeight="1" x14ac:dyDescent="0.45"/>
    <row r="661" ht="14.25" customHeight="1" x14ac:dyDescent="0.45"/>
    <row r="662" ht="14.25" customHeight="1" x14ac:dyDescent="0.45"/>
    <row r="663" ht="14.25" customHeight="1" x14ac:dyDescent="0.45"/>
    <row r="664" ht="14.25" customHeight="1" x14ac:dyDescent="0.45"/>
    <row r="665" ht="14.25" customHeight="1" x14ac:dyDescent="0.45"/>
    <row r="666" ht="14.25" customHeight="1" x14ac:dyDescent="0.45"/>
    <row r="667" ht="14.25" customHeight="1" x14ac:dyDescent="0.45"/>
    <row r="668" ht="14.25" customHeight="1" x14ac:dyDescent="0.45"/>
    <row r="669" ht="14.25" customHeight="1" x14ac:dyDescent="0.45"/>
    <row r="670" ht="14.25" customHeight="1" x14ac:dyDescent="0.45"/>
    <row r="671" ht="14.25" customHeight="1" x14ac:dyDescent="0.45"/>
    <row r="672" ht="14.25" customHeight="1" x14ac:dyDescent="0.45"/>
    <row r="673" ht="14.25" customHeight="1" x14ac:dyDescent="0.45"/>
    <row r="674" ht="14.25" customHeight="1" x14ac:dyDescent="0.45"/>
    <row r="675" ht="14.25" customHeight="1" x14ac:dyDescent="0.45"/>
    <row r="676" ht="14.25" customHeight="1" x14ac:dyDescent="0.45"/>
    <row r="677" ht="14.25" customHeight="1" x14ac:dyDescent="0.45"/>
    <row r="678" ht="14.25" customHeight="1" x14ac:dyDescent="0.45"/>
    <row r="679" ht="14.25" customHeight="1" x14ac:dyDescent="0.45"/>
    <row r="680" ht="14.25" customHeight="1" x14ac:dyDescent="0.45"/>
    <row r="681" ht="14.25" customHeight="1" x14ac:dyDescent="0.45"/>
    <row r="682" ht="14.25" customHeight="1" x14ac:dyDescent="0.45"/>
    <row r="683" ht="14.25" customHeight="1" x14ac:dyDescent="0.45"/>
    <row r="684" ht="14.25" customHeight="1" x14ac:dyDescent="0.45"/>
    <row r="685" ht="14.25" customHeight="1" x14ac:dyDescent="0.45"/>
    <row r="686" ht="14.25" customHeight="1" x14ac:dyDescent="0.45"/>
    <row r="687" ht="14.25" customHeight="1" x14ac:dyDescent="0.45"/>
    <row r="688" ht="14.25" customHeight="1" x14ac:dyDescent="0.45"/>
    <row r="689" ht="14.25" customHeight="1" x14ac:dyDescent="0.45"/>
    <row r="690" ht="14.25" customHeight="1" x14ac:dyDescent="0.45"/>
    <row r="691" ht="14.25" customHeight="1" x14ac:dyDescent="0.45"/>
    <row r="692" ht="14.25" customHeight="1" x14ac:dyDescent="0.45"/>
    <row r="693" ht="14.25" customHeight="1" x14ac:dyDescent="0.45"/>
    <row r="694" ht="14.25" customHeight="1" x14ac:dyDescent="0.45"/>
    <row r="695" ht="14.25" customHeight="1" x14ac:dyDescent="0.45"/>
    <row r="696" ht="14.25" customHeight="1" x14ac:dyDescent="0.45"/>
    <row r="697" ht="14.25" customHeight="1" x14ac:dyDescent="0.45"/>
    <row r="698" ht="14.25" customHeight="1" x14ac:dyDescent="0.45"/>
    <row r="699" ht="14.25" customHeight="1" x14ac:dyDescent="0.45"/>
    <row r="700" ht="14.25" customHeight="1" x14ac:dyDescent="0.45"/>
    <row r="701" ht="14.25" customHeight="1" x14ac:dyDescent="0.45"/>
    <row r="702" ht="14.25" customHeight="1" x14ac:dyDescent="0.45"/>
    <row r="703" ht="14.25" customHeight="1" x14ac:dyDescent="0.45"/>
    <row r="704" ht="14.25" customHeight="1" x14ac:dyDescent="0.45"/>
    <row r="705" ht="14.25" customHeight="1" x14ac:dyDescent="0.45"/>
    <row r="706" ht="14.25" customHeight="1" x14ac:dyDescent="0.45"/>
    <row r="707" ht="14.25" customHeight="1" x14ac:dyDescent="0.45"/>
    <row r="708" ht="14.25" customHeight="1" x14ac:dyDescent="0.45"/>
    <row r="709" ht="14.25" customHeight="1" x14ac:dyDescent="0.45"/>
    <row r="710" ht="14.25" customHeight="1" x14ac:dyDescent="0.45"/>
    <row r="711" ht="14.25" customHeight="1" x14ac:dyDescent="0.45"/>
    <row r="712" ht="14.25" customHeight="1" x14ac:dyDescent="0.45"/>
    <row r="713" ht="14.25" customHeight="1" x14ac:dyDescent="0.45"/>
    <row r="714" ht="14.25" customHeight="1" x14ac:dyDescent="0.45"/>
    <row r="715" ht="14.25" customHeight="1" x14ac:dyDescent="0.45"/>
    <row r="716" ht="14.25" customHeight="1" x14ac:dyDescent="0.45"/>
    <row r="717" ht="14.25" customHeight="1" x14ac:dyDescent="0.45"/>
    <row r="718" ht="14.25" customHeight="1" x14ac:dyDescent="0.45"/>
    <row r="719" ht="14.25" customHeight="1" x14ac:dyDescent="0.45"/>
    <row r="720" ht="14.25" customHeight="1" x14ac:dyDescent="0.45"/>
    <row r="721" ht="14.25" customHeight="1" x14ac:dyDescent="0.45"/>
    <row r="722" ht="14.25" customHeight="1" x14ac:dyDescent="0.45"/>
    <row r="723" ht="14.25" customHeight="1" x14ac:dyDescent="0.45"/>
    <row r="724" ht="14.25" customHeight="1" x14ac:dyDescent="0.45"/>
    <row r="725" ht="14.25" customHeight="1" x14ac:dyDescent="0.45"/>
    <row r="726" ht="14.25" customHeight="1" x14ac:dyDescent="0.45"/>
    <row r="727" ht="14.25" customHeight="1" x14ac:dyDescent="0.45"/>
    <row r="728" ht="14.25" customHeight="1" x14ac:dyDescent="0.45"/>
    <row r="729" ht="14.25" customHeight="1" x14ac:dyDescent="0.45"/>
    <row r="730" ht="14.25" customHeight="1" x14ac:dyDescent="0.45"/>
    <row r="731" ht="14.25" customHeight="1" x14ac:dyDescent="0.45"/>
    <row r="732" ht="14.25" customHeight="1" x14ac:dyDescent="0.45"/>
    <row r="733" ht="14.25" customHeight="1" x14ac:dyDescent="0.45"/>
    <row r="734" ht="14.25" customHeight="1" x14ac:dyDescent="0.45"/>
    <row r="735" ht="14.25" customHeight="1" x14ac:dyDescent="0.45"/>
    <row r="736" ht="14.25" customHeight="1" x14ac:dyDescent="0.45"/>
    <row r="737" ht="14.25" customHeight="1" x14ac:dyDescent="0.45"/>
    <row r="738" ht="14.25" customHeight="1" x14ac:dyDescent="0.45"/>
    <row r="739" ht="14.25" customHeight="1" x14ac:dyDescent="0.45"/>
    <row r="740" ht="14.25" customHeight="1" x14ac:dyDescent="0.45"/>
    <row r="741" ht="14.25" customHeight="1" x14ac:dyDescent="0.45"/>
    <row r="742" ht="14.25" customHeight="1" x14ac:dyDescent="0.45"/>
    <row r="743" ht="14.25" customHeight="1" x14ac:dyDescent="0.45"/>
    <row r="744" ht="14.25" customHeight="1" x14ac:dyDescent="0.45"/>
    <row r="745" ht="14.25" customHeight="1" x14ac:dyDescent="0.45"/>
    <row r="746" ht="14.25" customHeight="1" x14ac:dyDescent="0.45"/>
    <row r="747" ht="14.25" customHeight="1" x14ac:dyDescent="0.45"/>
    <row r="748" ht="14.25" customHeight="1" x14ac:dyDescent="0.45"/>
    <row r="749" ht="14.25" customHeight="1" x14ac:dyDescent="0.45"/>
    <row r="750" ht="14.25" customHeight="1" x14ac:dyDescent="0.45"/>
    <row r="751" ht="14.25" customHeight="1" x14ac:dyDescent="0.45"/>
    <row r="752" ht="14.25" customHeight="1" x14ac:dyDescent="0.45"/>
    <row r="753" ht="14.25" customHeight="1" x14ac:dyDescent="0.45"/>
    <row r="754" ht="14.25" customHeight="1" x14ac:dyDescent="0.45"/>
    <row r="755" ht="14.25" customHeight="1" x14ac:dyDescent="0.45"/>
    <row r="756" ht="14.25" customHeight="1" x14ac:dyDescent="0.45"/>
    <row r="757" ht="14.25" customHeight="1" x14ac:dyDescent="0.45"/>
    <row r="758" ht="14.25" customHeight="1" x14ac:dyDescent="0.45"/>
    <row r="759" ht="14.25" customHeight="1" x14ac:dyDescent="0.45"/>
    <row r="760" ht="14.25" customHeight="1" x14ac:dyDescent="0.45"/>
    <row r="761" ht="14.25" customHeight="1" x14ac:dyDescent="0.45"/>
    <row r="762" ht="14.25" customHeight="1" x14ac:dyDescent="0.45"/>
    <row r="763" ht="14.25" customHeight="1" x14ac:dyDescent="0.45"/>
    <row r="764" ht="14.25" customHeight="1" x14ac:dyDescent="0.45"/>
    <row r="765" ht="14.25" customHeight="1" x14ac:dyDescent="0.45"/>
    <row r="766" ht="14.25" customHeight="1" x14ac:dyDescent="0.45"/>
    <row r="767" ht="14.25" customHeight="1" x14ac:dyDescent="0.45"/>
    <row r="768" ht="14.25" customHeight="1" x14ac:dyDescent="0.45"/>
    <row r="769" ht="14.25" customHeight="1" x14ac:dyDescent="0.45"/>
    <row r="770" ht="14.25" customHeight="1" x14ac:dyDescent="0.45"/>
    <row r="771" ht="14.25" customHeight="1" x14ac:dyDescent="0.45"/>
    <row r="772" ht="14.25" customHeight="1" x14ac:dyDescent="0.45"/>
    <row r="773" ht="14.25" customHeight="1" x14ac:dyDescent="0.45"/>
    <row r="774" ht="14.25" customHeight="1" x14ac:dyDescent="0.45"/>
    <row r="775" ht="14.25" customHeight="1" x14ac:dyDescent="0.45"/>
    <row r="776" ht="14.25" customHeight="1" x14ac:dyDescent="0.45"/>
    <row r="777" ht="14.25" customHeight="1" x14ac:dyDescent="0.45"/>
    <row r="778" ht="14.25" customHeight="1" x14ac:dyDescent="0.45"/>
    <row r="779" ht="14.25" customHeight="1" x14ac:dyDescent="0.45"/>
    <row r="780" ht="14.25" customHeight="1" x14ac:dyDescent="0.45"/>
    <row r="781" ht="14.25" customHeight="1" x14ac:dyDescent="0.45"/>
    <row r="782" ht="14.25" customHeight="1" x14ac:dyDescent="0.45"/>
    <row r="783" ht="14.25" customHeight="1" x14ac:dyDescent="0.45"/>
    <row r="784" ht="14.25" customHeight="1" x14ac:dyDescent="0.45"/>
    <row r="785" ht="14.25" customHeight="1" x14ac:dyDescent="0.45"/>
    <row r="786" ht="14.25" customHeight="1" x14ac:dyDescent="0.45"/>
    <row r="787" ht="14.25" customHeight="1" x14ac:dyDescent="0.45"/>
    <row r="788" ht="14.25" customHeight="1" x14ac:dyDescent="0.45"/>
    <row r="789" ht="14.25" customHeight="1" x14ac:dyDescent="0.45"/>
    <row r="790" ht="14.25" customHeight="1" x14ac:dyDescent="0.45"/>
    <row r="791" ht="14.25" customHeight="1" x14ac:dyDescent="0.45"/>
    <row r="792" ht="14.25" customHeight="1" x14ac:dyDescent="0.45"/>
    <row r="793" ht="14.25" customHeight="1" x14ac:dyDescent="0.45"/>
    <row r="794" ht="14.25" customHeight="1" x14ac:dyDescent="0.45"/>
    <row r="795" ht="14.25" customHeight="1" x14ac:dyDescent="0.45"/>
    <row r="796" ht="14.25" customHeight="1" x14ac:dyDescent="0.45"/>
    <row r="797" ht="14.25" customHeight="1" x14ac:dyDescent="0.45"/>
    <row r="798" ht="14.25" customHeight="1" x14ac:dyDescent="0.45"/>
    <row r="799" ht="14.25" customHeight="1" x14ac:dyDescent="0.45"/>
    <row r="800" ht="14.25" customHeight="1" x14ac:dyDescent="0.45"/>
    <row r="801" ht="14.25" customHeight="1" x14ac:dyDescent="0.45"/>
    <row r="802" ht="14.25" customHeight="1" x14ac:dyDescent="0.45"/>
    <row r="803" ht="14.25" customHeight="1" x14ac:dyDescent="0.45"/>
    <row r="804" ht="14.25" customHeight="1" x14ac:dyDescent="0.45"/>
    <row r="805" ht="14.25" customHeight="1" x14ac:dyDescent="0.45"/>
    <row r="806" ht="14.25" customHeight="1" x14ac:dyDescent="0.45"/>
    <row r="807" ht="14.25" customHeight="1" x14ac:dyDescent="0.45"/>
    <row r="808" ht="14.25" customHeight="1" x14ac:dyDescent="0.45"/>
    <row r="809" ht="14.25" customHeight="1" x14ac:dyDescent="0.45"/>
    <row r="810" ht="14.25" customHeight="1" x14ac:dyDescent="0.45"/>
    <row r="811" ht="14.25" customHeight="1" x14ac:dyDescent="0.45"/>
    <row r="812" ht="14.25" customHeight="1" x14ac:dyDescent="0.45"/>
    <row r="813" ht="14.25" customHeight="1" x14ac:dyDescent="0.45"/>
    <row r="814" ht="14.25" customHeight="1" x14ac:dyDescent="0.45"/>
    <row r="815" ht="14.25" customHeight="1" x14ac:dyDescent="0.45"/>
    <row r="816" ht="14.25" customHeight="1" x14ac:dyDescent="0.45"/>
    <row r="817" ht="14.25" customHeight="1" x14ac:dyDescent="0.45"/>
    <row r="818" ht="14.25" customHeight="1" x14ac:dyDescent="0.45"/>
    <row r="819" ht="14.25" customHeight="1" x14ac:dyDescent="0.45"/>
    <row r="820" ht="14.25" customHeight="1" x14ac:dyDescent="0.45"/>
    <row r="821" ht="14.25" customHeight="1" x14ac:dyDescent="0.45"/>
    <row r="822" ht="14.25" customHeight="1" x14ac:dyDescent="0.45"/>
    <row r="823" ht="14.25" customHeight="1" x14ac:dyDescent="0.45"/>
    <row r="824" ht="14.25" customHeight="1" x14ac:dyDescent="0.45"/>
    <row r="825" ht="14.25" customHeight="1" x14ac:dyDescent="0.45"/>
    <row r="826" ht="14.25" customHeight="1" x14ac:dyDescent="0.45"/>
    <row r="827" ht="14.25" customHeight="1" x14ac:dyDescent="0.45"/>
    <row r="828" ht="14.25" customHeight="1" x14ac:dyDescent="0.45"/>
    <row r="829" ht="14.25" customHeight="1" x14ac:dyDescent="0.45"/>
    <row r="830" ht="14.25" customHeight="1" x14ac:dyDescent="0.45"/>
    <row r="831" ht="14.25" customHeight="1" x14ac:dyDescent="0.45"/>
    <row r="832" ht="14.25" customHeight="1" x14ac:dyDescent="0.45"/>
    <row r="833" ht="14.25" customHeight="1" x14ac:dyDescent="0.45"/>
    <row r="834" ht="14.25" customHeight="1" x14ac:dyDescent="0.45"/>
    <row r="835" ht="14.25" customHeight="1" x14ac:dyDescent="0.45"/>
    <row r="836" ht="14.25" customHeight="1" x14ac:dyDescent="0.45"/>
    <row r="837" ht="14.25" customHeight="1" x14ac:dyDescent="0.45"/>
    <row r="838" ht="14.25" customHeight="1" x14ac:dyDescent="0.45"/>
    <row r="839" ht="14.25" customHeight="1" x14ac:dyDescent="0.45"/>
    <row r="840" ht="14.25" customHeight="1" x14ac:dyDescent="0.45"/>
    <row r="841" ht="14.25" customHeight="1" x14ac:dyDescent="0.45"/>
    <row r="842" ht="14.25" customHeight="1" x14ac:dyDescent="0.45"/>
    <row r="843" ht="14.25" customHeight="1" x14ac:dyDescent="0.45"/>
    <row r="844" ht="14.25" customHeight="1" x14ac:dyDescent="0.45"/>
    <row r="845" ht="14.25" customHeight="1" x14ac:dyDescent="0.45"/>
    <row r="846" ht="14.25" customHeight="1" x14ac:dyDescent="0.45"/>
    <row r="847" ht="14.25" customHeight="1" x14ac:dyDescent="0.45"/>
    <row r="848" ht="14.25" customHeight="1" x14ac:dyDescent="0.45"/>
    <row r="849" ht="14.25" customHeight="1" x14ac:dyDescent="0.45"/>
    <row r="850" ht="14.25" customHeight="1" x14ac:dyDescent="0.45"/>
    <row r="851" ht="14.25" customHeight="1" x14ac:dyDescent="0.45"/>
    <row r="852" ht="14.25" customHeight="1" x14ac:dyDescent="0.45"/>
    <row r="853" ht="14.25" customHeight="1" x14ac:dyDescent="0.45"/>
    <row r="854" ht="14.25" customHeight="1" x14ac:dyDescent="0.45"/>
    <row r="855" ht="14.25" customHeight="1" x14ac:dyDescent="0.45"/>
    <row r="856" ht="14.25" customHeight="1" x14ac:dyDescent="0.45"/>
    <row r="857" ht="14.25" customHeight="1" x14ac:dyDescent="0.45"/>
    <row r="858" ht="14.25" customHeight="1" x14ac:dyDescent="0.45"/>
    <row r="859" ht="14.25" customHeight="1" x14ac:dyDescent="0.45"/>
    <row r="860" ht="14.25" customHeight="1" x14ac:dyDescent="0.45"/>
    <row r="861" ht="14.25" customHeight="1" x14ac:dyDescent="0.45"/>
    <row r="862" ht="14.25" customHeight="1" x14ac:dyDescent="0.45"/>
    <row r="863" ht="14.25" customHeight="1" x14ac:dyDescent="0.45"/>
    <row r="864" ht="14.25" customHeight="1" x14ac:dyDescent="0.45"/>
    <row r="865" ht="14.25" customHeight="1" x14ac:dyDescent="0.45"/>
    <row r="866" ht="14.25" customHeight="1" x14ac:dyDescent="0.45"/>
    <row r="867" ht="14.25" customHeight="1" x14ac:dyDescent="0.45"/>
    <row r="868" ht="14.25" customHeight="1" x14ac:dyDescent="0.45"/>
    <row r="869" ht="14.25" customHeight="1" x14ac:dyDescent="0.45"/>
    <row r="870" ht="14.25" customHeight="1" x14ac:dyDescent="0.45"/>
    <row r="871" ht="14.25" customHeight="1" x14ac:dyDescent="0.45"/>
    <row r="872" ht="14.25" customHeight="1" x14ac:dyDescent="0.45"/>
    <row r="873" ht="14.25" customHeight="1" x14ac:dyDescent="0.45"/>
    <row r="874" ht="14.25" customHeight="1" x14ac:dyDescent="0.45"/>
    <row r="875" ht="14.25" customHeight="1" x14ac:dyDescent="0.45"/>
    <row r="876" ht="14.25" customHeight="1" x14ac:dyDescent="0.45"/>
    <row r="877" ht="14.25" customHeight="1" x14ac:dyDescent="0.45"/>
    <row r="878" ht="14.25" customHeight="1" x14ac:dyDescent="0.45"/>
    <row r="879" ht="14.25" customHeight="1" x14ac:dyDescent="0.45"/>
    <row r="880" ht="14.25" customHeight="1" x14ac:dyDescent="0.45"/>
    <row r="881" ht="14.25" customHeight="1" x14ac:dyDescent="0.45"/>
    <row r="882" ht="14.25" customHeight="1" x14ac:dyDescent="0.45"/>
    <row r="883" ht="14.25" customHeight="1" x14ac:dyDescent="0.45"/>
    <row r="884" ht="14.25" customHeight="1" x14ac:dyDescent="0.45"/>
    <row r="885" ht="14.25" customHeight="1" x14ac:dyDescent="0.45"/>
    <row r="886" ht="14.25" customHeight="1" x14ac:dyDescent="0.45"/>
    <row r="887" ht="14.25" customHeight="1" x14ac:dyDescent="0.45"/>
    <row r="888" ht="14.25" customHeight="1" x14ac:dyDescent="0.45"/>
    <row r="889" ht="14.25" customHeight="1" x14ac:dyDescent="0.45"/>
    <row r="890" ht="14.25" customHeight="1" x14ac:dyDescent="0.45"/>
    <row r="891" ht="14.25" customHeight="1" x14ac:dyDescent="0.45"/>
    <row r="892" ht="14.25" customHeight="1" x14ac:dyDescent="0.45"/>
    <row r="893" ht="14.25" customHeight="1" x14ac:dyDescent="0.45"/>
    <row r="894" ht="14.25" customHeight="1" x14ac:dyDescent="0.45"/>
    <row r="895" ht="14.25" customHeight="1" x14ac:dyDescent="0.45"/>
    <row r="896" ht="14.25" customHeight="1" x14ac:dyDescent="0.45"/>
    <row r="897" ht="14.25" customHeight="1" x14ac:dyDescent="0.45"/>
    <row r="898" ht="14.25" customHeight="1" x14ac:dyDescent="0.45"/>
    <row r="899" ht="14.25" customHeight="1" x14ac:dyDescent="0.45"/>
    <row r="900" ht="14.25" customHeight="1" x14ac:dyDescent="0.45"/>
    <row r="901" ht="14.25" customHeight="1" x14ac:dyDescent="0.45"/>
    <row r="902" ht="14.25" customHeight="1" x14ac:dyDescent="0.45"/>
    <row r="903" ht="14.25" customHeight="1" x14ac:dyDescent="0.45"/>
    <row r="904" ht="14.25" customHeight="1" x14ac:dyDescent="0.45"/>
    <row r="905" ht="14.25" customHeight="1" x14ac:dyDescent="0.45"/>
    <row r="906" ht="14.25" customHeight="1" x14ac:dyDescent="0.45"/>
    <row r="907" ht="14.25" customHeight="1" x14ac:dyDescent="0.45"/>
    <row r="908" ht="14.25" customHeight="1" x14ac:dyDescent="0.45"/>
    <row r="909" ht="14.25" customHeight="1" x14ac:dyDescent="0.45"/>
    <row r="910" ht="14.25" customHeight="1" x14ac:dyDescent="0.45"/>
    <row r="911" ht="14.25" customHeight="1" x14ac:dyDescent="0.45"/>
    <row r="912" ht="14.25" customHeight="1" x14ac:dyDescent="0.45"/>
    <row r="913" ht="14.25" customHeight="1" x14ac:dyDescent="0.45"/>
    <row r="914" ht="14.25" customHeight="1" x14ac:dyDescent="0.45"/>
    <row r="915" ht="14.25" customHeight="1" x14ac:dyDescent="0.45"/>
    <row r="916" ht="14.25" customHeight="1" x14ac:dyDescent="0.45"/>
    <row r="917" ht="14.25" customHeight="1" x14ac:dyDescent="0.45"/>
    <row r="918" ht="14.25" customHeight="1" x14ac:dyDescent="0.45"/>
    <row r="919" ht="14.25" customHeight="1" x14ac:dyDescent="0.45"/>
    <row r="920" ht="14.25" customHeight="1" x14ac:dyDescent="0.45"/>
    <row r="921" ht="14.25" customHeight="1" x14ac:dyDescent="0.45"/>
    <row r="922" ht="14.25" customHeight="1" x14ac:dyDescent="0.45"/>
    <row r="923" ht="14.25" customHeight="1" x14ac:dyDescent="0.45"/>
    <row r="924" ht="14.25" customHeight="1" x14ac:dyDescent="0.45"/>
    <row r="925" ht="14.25" customHeight="1" x14ac:dyDescent="0.45"/>
    <row r="926" ht="14.25" customHeight="1" x14ac:dyDescent="0.45"/>
    <row r="927" ht="14.25" customHeight="1" x14ac:dyDescent="0.45"/>
    <row r="928" ht="14.25" customHeight="1" x14ac:dyDescent="0.45"/>
    <row r="929" ht="14.25" customHeight="1" x14ac:dyDescent="0.45"/>
    <row r="930" ht="14.25" customHeight="1" x14ac:dyDescent="0.45"/>
    <row r="931" ht="14.25" customHeight="1" x14ac:dyDescent="0.45"/>
    <row r="932" ht="14.25" customHeight="1" x14ac:dyDescent="0.45"/>
    <row r="933" ht="14.25" customHeight="1" x14ac:dyDescent="0.45"/>
    <row r="934" ht="14.25" customHeight="1" x14ac:dyDescent="0.45"/>
    <row r="935" ht="14.25" customHeight="1" x14ac:dyDescent="0.45"/>
    <row r="936" ht="14.25" customHeight="1" x14ac:dyDescent="0.45"/>
    <row r="937" ht="14.25" customHeight="1" x14ac:dyDescent="0.45"/>
    <row r="938" ht="14.25" customHeight="1" x14ac:dyDescent="0.45"/>
    <row r="939" ht="14.25" customHeight="1" x14ac:dyDescent="0.45"/>
    <row r="940" ht="14.25" customHeight="1" x14ac:dyDescent="0.45"/>
    <row r="941" ht="14.25" customHeight="1" x14ac:dyDescent="0.45"/>
    <row r="942" ht="14.25" customHeight="1" x14ac:dyDescent="0.45"/>
    <row r="943" ht="14.25" customHeight="1" x14ac:dyDescent="0.45"/>
    <row r="944" ht="14.25" customHeight="1" x14ac:dyDescent="0.45"/>
    <row r="945" ht="14.25" customHeight="1" x14ac:dyDescent="0.45"/>
    <row r="946" ht="14.25" customHeight="1" x14ac:dyDescent="0.45"/>
    <row r="947" ht="14.25" customHeight="1" x14ac:dyDescent="0.45"/>
    <row r="948" ht="14.25" customHeight="1" x14ac:dyDescent="0.45"/>
    <row r="949" ht="14.25" customHeight="1" x14ac:dyDescent="0.45"/>
    <row r="950" ht="14.25" customHeight="1" x14ac:dyDescent="0.45"/>
    <row r="951" ht="14.25" customHeight="1" x14ac:dyDescent="0.45"/>
    <row r="952" ht="14.25" customHeight="1" x14ac:dyDescent="0.45"/>
    <row r="953" ht="14.25" customHeight="1" x14ac:dyDescent="0.45"/>
    <row r="954" ht="14.25" customHeight="1" x14ac:dyDescent="0.45"/>
    <row r="955" ht="14.25" customHeight="1" x14ac:dyDescent="0.45"/>
    <row r="956" ht="14.25" customHeight="1" x14ac:dyDescent="0.45"/>
    <row r="957" ht="14.25" customHeight="1" x14ac:dyDescent="0.45"/>
    <row r="958" ht="14.25" customHeight="1" x14ac:dyDescent="0.45"/>
    <row r="959" ht="14.25" customHeight="1" x14ac:dyDescent="0.45"/>
    <row r="960" ht="14.25" customHeight="1" x14ac:dyDescent="0.45"/>
    <row r="961" ht="14.25" customHeight="1" x14ac:dyDescent="0.45"/>
    <row r="962" ht="14.25" customHeight="1" x14ac:dyDescent="0.45"/>
    <row r="963" ht="14.25" customHeight="1" x14ac:dyDescent="0.45"/>
    <row r="964" ht="14.25" customHeight="1" x14ac:dyDescent="0.45"/>
    <row r="965" ht="14.25" customHeight="1" x14ac:dyDescent="0.45"/>
    <row r="966" ht="14.25" customHeight="1" x14ac:dyDescent="0.45"/>
    <row r="967" ht="14.25" customHeight="1" x14ac:dyDescent="0.45"/>
    <row r="968" ht="14.25" customHeight="1" x14ac:dyDescent="0.45"/>
    <row r="969" ht="14.25" customHeight="1" x14ac:dyDescent="0.45"/>
    <row r="970" ht="14.25" customHeight="1" x14ac:dyDescent="0.45"/>
    <row r="971" ht="14.25" customHeight="1" x14ac:dyDescent="0.45"/>
    <row r="972" ht="14.25" customHeight="1" x14ac:dyDescent="0.45"/>
    <row r="973" ht="14.25" customHeight="1" x14ac:dyDescent="0.45"/>
    <row r="974" ht="14.25" customHeight="1" x14ac:dyDescent="0.45"/>
    <row r="975" ht="14.25" customHeight="1" x14ac:dyDescent="0.45"/>
    <row r="976" ht="14.25" customHeight="1" x14ac:dyDescent="0.45"/>
    <row r="977" ht="14.25" customHeight="1" x14ac:dyDescent="0.45"/>
    <row r="978" ht="14.25" customHeight="1" x14ac:dyDescent="0.45"/>
    <row r="979" ht="14.25" customHeight="1" x14ac:dyDescent="0.45"/>
    <row r="980" ht="14.25" customHeight="1" x14ac:dyDescent="0.45"/>
    <row r="981" ht="14.25" customHeight="1" x14ac:dyDescent="0.45"/>
    <row r="982" ht="14.25" customHeight="1" x14ac:dyDescent="0.45"/>
    <row r="983" ht="14.25" customHeight="1" x14ac:dyDescent="0.45"/>
    <row r="984" ht="14.25" customHeight="1" x14ac:dyDescent="0.45"/>
    <row r="985" ht="14.25" customHeight="1" x14ac:dyDescent="0.45"/>
    <row r="986" ht="14.25" customHeight="1" x14ac:dyDescent="0.45"/>
    <row r="987" ht="14.25" customHeight="1" x14ac:dyDescent="0.45"/>
    <row r="988" ht="14.25" customHeight="1" x14ac:dyDescent="0.45"/>
    <row r="989" ht="14.25" customHeight="1" x14ac:dyDescent="0.45"/>
    <row r="990" ht="14.25" customHeight="1" x14ac:dyDescent="0.45"/>
    <row r="991" ht="14.25" customHeight="1" x14ac:dyDescent="0.45"/>
    <row r="992" ht="14.25" customHeight="1" x14ac:dyDescent="0.45"/>
    <row r="993" ht="14.25" customHeight="1" x14ac:dyDescent="0.45"/>
    <row r="994" ht="14.25" customHeight="1" x14ac:dyDescent="0.45"/>
    <row r="995" ht="14.25" customHeight="1" x14ac:dyDescent="0.45"/>
    <row r="996" ht="14.25" customHeight="1" x14ac:dyDescent="0.45"/>
    <row r="997" ht="14.25" customHeight="1" x14ac:dyDescent="0.45"/>
    <row r="998" ht="14.25" customHeight="1" x14ac:dyDescent="0.45"/>
    <row r="999" ht="14.25" customHeight="1" x14ac:dyDescent="0.45"/>
    <row r="1000" ht="14.25" customHeight="1" x14ac:dyDescent="0.4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5A0F4-63AA-4D01-AF7F-9516CB6343D8}">
  <dimension ref="A1:I505"/>
  <sheetViews>
    <sheetView topLeftCell="A2" workbookViewId="0">
      <selection sqref="A1:I505"/>
    </sheetView>
  </sheetViews>
  <sheetFormatPr defaultRowHeight="14.25" x14ac:dyDescent="0.45"/>
  <cols>
    <col min="1" max="1" width="14.73046875" bestFit="1" customWidth="1"/>
    <col min="2" max="2" width="19.6640625" bestFit="1" customWidth="1"/>
    <col min="3" max="3" width="18.1328125" bestFit="1" customWidth="1"/>
    <col min="4" max="4" width="18.9296875" bestFit="1" customWidth="1"/>
    <col min="5" max="5" width="22.796875" bestFit="1" customWidth="1"/>
    <col min="6" max="6" width="12.33203125" customWidth="1"/>
    <col min="7" max="7" width="21.53125" bestFit="1" customWidth="1"/>
    <col min="8" max="8" width="21.1328125" bestFit="1" customWidth="1"/>
    <col min="9" max="9" width="22.53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7</v>
      </c>
      <c r="F1" t="s">
        <v>8</v>
      </c>
      <c r="G1" t="s">
        <v>4</v>
      </c>
      <c r="H1" t="s">
        <v>5</v>
      </c>
      <c r="I1" t="s">
        <v>6</v>
      </c>
    </row>
    <row r="2" spans="1:9" x14ac:dyDescent="0.45">
      <c r="A2" s="12">
        <v>43982</v>
      </c>
      <c r="B2" s="13" t="s">
        <v>9</v>
      </c>
      <c r="C2">
        <v>7944</v>
      </c>
      <c r="D2">
        <v>623971.5</v>
      </c>
      <c r="E2" s="14">
        <f>C2/G2</f>
        <v>529.6</v>
      </c>
      <c r="F2">
        <f>WEEKNUM(Слияние1[[#This Row],[Дата]],2)</f>
        <v>22</v>
      </c>
      <c r="G2">
        <v>15</v>
      </c>
      <c r="H2">
        <v>441</v>
      </c>
      <c r="I2">
        <v>368</v>
      </c>
    </row>
    <row r="3" spans="1:9" x14ac:dyDescent="0.45">
      <c r="A3" s="12">
        <v>43949</v>
      </c>
      <c r="B3" s="13" t="s">
        <v>16</v>
      </c>
      <c r="C3">
        <v>73147.5</v>
      </c>
      <c r="D3">
        <v>6288246</v>
      </c>
      <c r="E3" s="14">
        <f t="shared" ref="E3:E66" si="0">C3/G3</f>
        <v>2031.875</v>
      </c>
      <c r="F3">
        <f>WEEKNUM(Слияние1[[#This Row],[Дата]],2)</f>
        <v>18</v>
      </c>
      <c r="G3">
        <v>36</v>
      </c>
      <c r="H3">
        <v>4923</v>
      </c>
      <c r="I3">
        <v>4560</v>
      </c>
    </row>
    <row r="4" spans="1:9" x14ac:dyDescent="0.45">
      <c r="A4" s="12">
        <v>43981</v>
      </c>
      <c r="B4" s="13" t="s">
        <v>9</v>
      </c>
      <c r="C4">
        <v>10029</v>
      </c>
      <c r="D4">
        <v>787101</v>
      </c>
      <c r="E4" s="14">
        <f t="shared" si="0"/>
        <v>668.6</v>
      </c>
      <c r="F4">
        <f>WEEKNUM(Слияние1[[#This Row],[Дата]],2)</f>
        <v>22</v>
      </c>
      <c r="G4">
        <v>15</v>
      </c>
      <c r="H4">
        <v>490</v>
      </c>
      <c r="I4">
        <v>409</v>
      </c>
    </row>
    <row r="5" spans="1:9" x14ac:dyDescent="0.45">
      <c r="A5" s="12">
        <v>43949</v>
      </c>
      <c r="B5" s="13" t="s">
        <v>11</v>
      </c>
      <c r="C5">
        <v>81826.5</v>
      </c>
      <c r="D5">
        <v>7163644.5</v>
      </c>
      <c r="E5" s="14">
        <f t="shared" si="0"/>
        <v>2639.5645161290322</v>
      </c>
      <c r="F5">
        <f>WEEKNUM(Слияние1[[#This Row],[Дата]],2)</f>
        <v>18</v>
      </c>
      <c r="G5">
        <v>31</v>
      </c>
      <c r="H5">
        <v>5465</v>
      </c>
      <c r="I5">
        <v>5096</v>
      </c>
    </row>
    <row r="6" spans="1:9" x14ac:dyDescent="0.45">
      <c r="A6" s="12">
        <v>43979</v>
      </c>
      <c r="B6" s="13" t="s">
        <v>9</v>
      </c>
      <c r="C6">
        <v>8536.5</v>
      </c>
      <c r="D6">
        <v>643944</v>
      </c>
      <c r="E6" s="14">
        <f t="shared" si="0"/>
        <v>569.1</v>
      </c>
      <c r="F6">
        <f>WEEKNUM(Слияние1[[#This Row],[Дата]],2)</f>
        <v>22</v>
      </c>
      <c r="G6">
        <v>15</v>
      </c>
      <c r="H6">
        <v>464</v>
      </c>
      <c r="I6">
        <v>390</v>
      </c>
    </row>
    <row r="7" spans="1:9" x14ac:dyDescent="0.45">
      <c r="A7" s="12">
        <v>43949</v>
      </c>
      <c r="B7" s="13" t="s">
        <v>17</v>
      </c>
      <c r="C7">
        <v>32181</v>
      </c>
      <c r="D7">
        <v>2863600.5</v>
      </c>
      <c r="E7" s="14">
        <f t="shared" si="0"/>
        <v>1693.7368421052631</v>
      </c>
      <c r="F7">
        <f>WEEKNUM(Слияние1[[#This Row],[Дата]],2)</f>
        <v>18</v>
      </c>
      <c r="G7">
        <v>19</v>
      </c>
      <c r="H7">
        <v>1846</v>
      </c>
      <c r="I7">
        <v>1681</v>
      </c>
    </row>
    <row r="8" spans="1:9" x14ac:dyDescent="0.45">
      <c r="A8" s="12">
        <v>43967</v>
      </c>
      <c r="B8" s="13" t="s">
        <v>10</v>
      </c>
      <c r="C8">
        <v>38947.5</v>
      </c>
      <c r="D8">
        <v>3395892</v>
      </c>
      <c r="E8" s="14">
        <f t="shared" si="0"/>
        <v>1854.6428571428571</v>
      </c>
      <c r="F8">
        <f>WEEKNUM(Слияние1[[#This Row],[Дата]],2)</f>
        <v>20</v>
      </c>
      <c r="G8">
        <v>21</v>
      </c>
      <c r="H8">
        <v>2145</v>
      </c>
      <c r="I8">
        <v>1947</v>
      </c>
    </row>
    <row r="9" spans="1:9" x14ac:dyDescent="0.45">
      <c r="A9" s="12">
        <v>43949</v>
      </c>
      <c r="B9" s="13" t="s">
        <v>10</v>
      </c>
      <c r="C9">
        <v>26940</v>
      </c>
      <c r="D9">
        <v>2411587.5</v>
      </c>
      <c r="E9" s="14">
        <f t="shared" si="0"/>
        <v>1496.6666666666667</v>
      </c>
      <c r="F9">
        <f>WEEKNUM(Слияние1[[#This Row],[Дата]],2)</f>
        <v>18</v>
      </c>
      <c r="G9">
        <v>18</v>
      </c>
      <c r="H9">
        <v>1539</v>
      </c>
      <c r="I9">
        <v>1404</v>
      </c>
    </row>
    <row r="10" spans="1:9" x14ac:dyDescent="0.45">
      <c r="A10" s="12">
        <v>43970</v>
      </c>
      <c r="B10" s="13" t="s">
        <v>10</v>
      </c>
      <c r="C10">
        <v>31842</v>
      </c>
      <c r="D10">
        <v>2771116.5</v>
      </c>
      <c r="E10" s="14">
        <f t="shared" si="0"/>
        <v>1516.2857142857142</v>
      </c>
      <c r="F10">
        <f>WEEKNUM(Слияние1[[#This Row],[Дата]],2)</f>
        <v>21</v>
      </c>
      <c r="G10">
        <v>21</v>
      </c>
      <c r="H10">
        <v>1860</v>
      </c>
      <c r="I10">
        <v>1704</v>
      </c>
    </row>
    <row r="11" spans="1:9" x14ac:dyDescent="0.45">
      <c r="A11" s="12">
        <v>43949</v>
      </c>
      <c r="B11" s="13" t="s">
        <v>20</v>
      </c>
      <c r="C11">
        <v>25149</v>
      </c>
      <c r="D11">
        <v>2277072</v>
      </c>
      <c r="E11" s="14">
        <f t="shared" si="0"/>
        <v>1397.1666666666667</v>
      </c>
      <c r="F11">
        <f>WEEKNUM(Слияние1[[#This Row],[Дата]],2)</f>
        <v>18</v>
      </c>
      <c r="G11">
        <v>18</v>
      </c>
      <c r="H11">
        <v>1505</v>
      </c>
      <c r="I11">
        <v>1368</v>
      </c>
    </row>
    <row r="12" spans="1:9" x14ac:dyDescent="0.45">
      <c r="A12" s="12">
        <v>43968</v>
      </c>
      <c r="B12" s="13" t="s">
        <v>10</v>
      </c>
      <c r="C12">
        <v>32023.5</v>
      </c>
      <c r="D12">
        <v>2882458.5</v>
      </c>
      <c r="E12" s="14">
        <f t="shared" si="0"/>
        <v>1524.9285714285713</v>
      </c>
      <c r="F12">
        <f>WEEKNUM(Слияние1[[#This Row],[Дата]],2)</f>
        <v>20</v>
      </c>
      <c r="G12">
        <v>21</v>
      </c>
      <c r="H12">
        <v>1874</v>
      </c>
      <c r="I12">
        <v>1705</v>
      </c>
    </row>
    <row r="13" spans="1:9" x14ac:dyDescent="0.45">
      <c r="A13" s="12">
        <v>43949</v>
      </c>
      <c r="B13" s="13" t="s">
        <v>22</v>
      </c>
      <c r="C13">
        <v>195705</v>
      </c>
      <c r="D13">
        <v>20003263.5</v>
      </c>
      <c r="E13" s="14">
        <f t="shared" si="0"/>
        <v>3624.1666666666665</v>
      </c>
      <c r="F13">
        <f>WEEKNUM(Слияние1[[#This Row],[Дата]],2)</f>
        <v>18</v>
      </c>
      <c r="G13">
        <v>54</v>
      </c>
      <c r="H13">
        <v>12306</v>
      </c>
      <c r="I13">
        <v>11532</v>
      </c>
    </row>
    <row r="14" spans="1:9" x14ac:dyDescent="0.45">
      <c r="A14" s="12">
        <v>43960</v>
      </c>
      <c r="B14" s="13" t="s">
        <v>10</v>
      </c>
      <c r="C14">
        <v>31147.5</v>
      </c>
      <c r="D14">
        <v>2831019</v>
      </c>
      <c r="E14" s="14">
        <f t="shared" si="0"/>
        <v>1483.2142857142858</v>
      </c>
      <c r="F14">
        <f>WEEKNUM(Слияние1[[#This Row],[Дата]],2)</f>
        <v>19</v>
      </c>
      <c r="G14">
        <v>21</v>
      </c>
      <c r="H14">
        <v>1735</v>
      </c>
      <c r="I14">
        <v>1568</v>
      </c>
    </row>
    <row r="15" spans="1:9" x14ac:dyDescent="0.45">
      <c r="A15" s="12">
        <v>43949</v>
      </c>
      <c r="B15" s="13" t="s">
        <v>21</v>
      </c>
      <c r="C15">
        <v>204637.5</v>
      </c>
      <c r="D15">
        <v>21114898.5</v>
      </c>
      <c r="E15" s="14">
        <f t="shared" si="0"/>
        <v>3468.4322033898306</v>
      </c>
      <c r="F15">
        <f>WEEKNUM(Слияние1[[#This Row],[Дата]],2)</f>
        <v>18</v>
      </c>
      <c r="G15">
        <v>59</v>
      </c>
      <c r="H15">
        <v>12943</v>
      </c>
      <c r="I15">
        <v>12072</v>
      </c>
    </row>
    <row r="16" spans="1:9" x14ac:dyDescent="0.45">
      <c r="A16" s="12">
        <v>43955</v>
      </c>
      <c r="B16" s="13" t="s">
        <v>10</v>
      </c>
      <c r="C16">
        <v>25566</v>
      </c>
      <c r="D16">
        <v>2372310</v>
      </c>
      <c r="E16" s="14">
        <f t="shared" si="0"/>
        <v>1278.3</v>
      </c>
      <c r="F16">
        <f>WEEKNUM(Слияние1[[#This Row],[Дата]],2)</f>
        <v>19</v>
      </c>
      <c r="G16">
        <v>20</v>
      </c>
      <c r="H16">
        <v>1519</v>
      </c>
      <c r="I16">
        <v>1372</v>
      </c>
    </row>
    <row r="17" spans="1:9" x14ac:dyDescent="0.45">
      <c r="A17" s="12">
        <v>43949</v>
      </c>
      <c r="B17" s="13" t="s">
        <v>13</v>
      </c>
      <c r="C17">
        <v>23314.5</v>
      </c>
      <c r="D17">
        <v>2136817.5</v>
      </c>
      <c r="E17" s="14">
        <f t="shared" si="0"/>
        <v>1371.4411764705883</v>
      </c>
      <c r="F17">
        <f>WEEKNUM(Слияние1[[#This Row],[Дата]],2)</f>
        <v>18</v>
      </c>
      <c r="G17">
        <v>17</v>
      </c>
      <c r="H17">
        <v>1439</v>
      </c>
      <c r="I17">
        <v>1265</v>
      </c>
    </row>
    <row r="18" spans="1:9" x14ac:dyDescent="0.45">
      <c r="A18" s="12">
        <v>43950</v>
      </c>
      <c r="B18" s="13" t="s">
        <v>10</v>
      </c>
      <c r="C18">
        <v>29319</v>
      </c>
      <c r="D18">
        <v>2623480.5</v>
      </c>
      <c r="E18" s="14">
        <f t="shared" si="0"/>
        <v>1628.8333333333333</v>
      </c>
      <c r="F18">
        <f>WEEKNUM(Слияние1[[#This Row],[Дата]],2)</f>
        <v>18</v>
      </c>
      <c r="G18">
        <v>18</v>
      </c>
      <c r="H18">
        <v>1684</v>
      </c>
      <c r="I18">
        <v>1528</v>
      </c>
    </row>
    <row r="19" spans="1:9" x14ac:dyDescent="0.45">
      <c r="A19" s="12">
        <v>43949</v>
      </c>
      <c r="B19" s="13" t="s">
        <v>23</v>
      </c>
      <c r="C19">
        <v>12541.5</v>
      </c>
      <c r="D19">
        <v>992541</v>
      </c>
      <c r="E19" s="14">
        <f t="shared" si="0"/>
        <v>836.1</v>
      </c>
      <c r="F19">
        <f>WEEKNUM(Слияние1[[#This Row],[Дата]],2)</f>
        <v>18</v>
      </c>
      <c r="G19">
        <v>15</v>
      </c>
      <c r="H19">
        <v>636</v>
      </c>
      <c r="I19">
        <v>547</v>
      </c>
    </row>
    <row r="20" spans="1:9" x14ac:dyDescent="0.45">
      <c r="A20" s="12">
        <v>43953</v>
      </c>
      <c r="B20" s="13" t="s">
        <v>10</v>
      </c>
      <c r="C20">
        <v>29031</v>
      </c>
      <c r="D20">
        <v>2711247</v>
      </c>
      <c r="E20" s="14">
        <f t="shared" si="0"/>
        <v>1612.8333333333333</v>
      </c>
      <c r="F20">
        <f>WEEKNUM(Слияние1[[#This Row],[Дата]],2)</f>
        <v>18</v>
      </c>
      <c r="G20">
        <v>18</v>
      </c>
      <c r="H20">
        <v>1708</v>
      </c>
      <c r="I20">
        <v>1534</v>
      </c>
    </row>
    <row r="21" spans="1:9" x14ac:dyDescent="0.45">
      <c r="A21" s="12">
        <v>43949</v>
      </c>
      <c r="B21" s="13" t="s">
        <v>18</v>
      </c>
      <c r="C21">
        <v>13303.5</v>
      </c>
      <c r="D21">
        <v>1102887</v>
      </c>
      <c r="E21" s="14">
        <f t="shared" si="0"/>
        <v>886.9</v>
      </c>
      <c r="F21">
        <f>WEEKNUM(Слияние1[[#This Row],[Дата]],2)</f>
        <v>18</v>
      </c>
      <c r="G21">
        <v>15</v>
      </c>
      <c r="H21">
        <v>780</v>
      </c>
      <c r="I21">
        <v>690</v>
      </c>
    </row>
    <row r="22" spans="1:9" x14ac:dyDescent="0.45">
      <c r="A22" s="12">
        <v>43977</v>
      </c>
      <c r="B22" s="13" t="s">
        <v>10</v>
      </c>
      <c r="C22">
        <v>33423</v>
      </c>
      <c r="D22">
        <v>2970330</v>
      </c>
      <c r="E22" s="14">
        <f t="shared" si="0"/>
        <v>1671.15</v>
      </c>
      <c r="F22">
        <f>WEEKNUM(Слияние1[[#This Row],[Дата]],2)</f>
        <v>22</v>
      </c>
      <c r="G22">
        <v>20</v>
      </c>
      <c r="H22">
        <v>2044</v>
      </c>
      <c r="I22">
        <v>1863</v>
      </c>
    </row>
    <row r="23" spans="1:9" x14ac:dyDescent="0.45">
      <c r="A23" s="12">
        <v>43949</v>
      </c>
      <c r="B23" s="13" t="s">
        <v>15</v>
      </c>
      <c r="C23">
        <v>376060.5</v>
      </c>
      <c r="D23">
        <v>39918028.5</v>
      </c>
      <c r="E23" s="14">
        <f t="shared" si="0"/>
        <v>3008.4839999999999</v>
      </c>
      <c r="F23">
        <f>WEEKNUM(Слияние1[[#This Row],[Дата]],2)</f>
        <v>18</v>
      </c>
      <c r="G23">
        <v>125</v>
      </c>
      <c r="H23">
        <v>20914</v>
      </c>
      <c r="I23">
        <v>19479</v>
      </c>
    </row>
    <row r="24" spans="1:9" x14ac:dyDescent="0.45">
      <c r="A24" s="12">
        <v>43952</v>
      </c>
      <c r="B24" s="13" t="s">
        <v>10</v>
      </c>
      <c r="C24">
        <v>32487</v>
      </c>
      <c r="D24">
        <v>3031254</v>
      </c>
      <c r="E24" s="14">
        <f t="shared" si="0"/>
        <v>1804.8333333333333</v>
      </c>
      <c r="F24">
        <f>WEEKNUM(Слияние1[[#This Row],[Дата]],2)</f>
        <v>18</v>
      </c>
      <c r="G24">
        <v>18</v>
      </c>
      <c r="H24">
        <v>1826</v>
      </c>
      <c r="I24">
        <v>1633</v>
      </c>
    </row>
    <row r="25" spans="1:9" x14ac:dyDescent="0.45">
      <c r="A25" s="12">
        <v>43949</v>
      </c>
      <c r="B25" s="13" t="s">
        <v>14</v>
      </c>
      <c r="C25">
        <v>286002</v>
      </c>
      <c r="D25">
        <v>29159032.5</v>
      </c>
      <c r="E25" s="14">
        <f t="shared" si="0"/>
        <v>2234.390625</v>
      </c>
      <c r="F25">
        <f>WEEKNUM(Слияние1[[#This Row],[Дата]],2)</f>
        <v>18</v>
      </c>
      <c r="G25">
        <v>128</v>
      </c>
      <c r="H25">
        <v>16450</v>
      </c>
      <c r="I25">
        <v>15320</v>
      </c>
    </row>
    <row r="26" spans="1:9" x14ac:dyDescent="0.45">
      <c r="A26" s="12">
        <v>43963</v>
      </c>
      <c r="B26" s="13" t="s">
        <v>10</v>
      </c>
      <c r="C26">
        <v>28219.5</v>
      </c>
      <c r="D26">
        <v>2595778.5</v>
      </c>
      <c r="E26" s="14">
        <f t="shared" si="0"/>
        <v>1343.7857142857142</v>
      </c>
      <c r="F26">
        <f>WEEKNUM(Слияние1[[#This Row],[Дата]],2)</f>
        <v>20</v>
      </c>
      <c r="G26">
        <v>21</v>
      </c>
      <c r="H26">
        <v>1656</v>
      </c>
      <c r="I26">
        <v>1516</v>
      </c>
    </row>
    <row r="27" spans="1:9" x14ac:dyDescent="0.45">
      <c r="A27" s="12">
        <v>43949</v>
      </c>
      <c r="B27" s="13" t="s">
        <v>12</v>
      </c>
      <c r="C27">
        <v>12331.5</v>
      </c>
      <c r="D27">
        <v>869983.5</v>
      </c>
      <c r="E27" s="14">
        <f t="shared" si="0"/>
        <v>1233.1500000000001</v>
      </c>
      <c r="F27">
        <f>WEEKNUM(Слияние1[[#This Row],[Дата]],2)</f>
        <v>18</v>
      </c>
      <c r="G27">
        <v>10</v>
      </c>
      <c r="H27">
        <v>580</v>
      </c>
      <c r="I27">
        <v>506</v>
      </c>
    </row>
    <row r="28" spans="1:9" x14ac:dyDescent="0.45">
      <c r="A28" s="12">
        <v>43972</v>
      </c>
      <c r="B28" s="13" t="s">
        <v>10</v>
      </c>
      <c r="C28">
        <v>31272</v>
      </c>
      <c r="D28">
        <v>2744382</v>
      </c>
      <c r="E28" s="14">
        <f t="shared" si="0"/>
        <v>1489.1428571428571</v>
      </c>
      <c r="F28">
        <f>WEEKNUM(Слияние1[[#This Row],[Дата]],2)</f>
        <v>21</v>
      </c>
      <c r="G28">
        <v>21</v>
      </c>
      <c r="H28">
        <v>1787</v>
      </c>
      <c r="I28">
        <v>1626</v>
      </c>
    </row>
    <row r="29" spans="1:9" x14ac:dyDescent="0.45">
      <c r="A29" s="12">
        <v>43950</v>
      </c>
      <c r="B29" s="13" t="s">
        <v>16</v>
      </c>
      <c r="C29">
        <v>74707.5</v>
      </c>
      <c r="D29">
        <v>6454458</v>
      </c>
      <c r="E29" s="14">
        <f t="shared" si="0"/>
        <v>2075.2083333333335</v>
      </c>
      <c r="F29">
        <f>WEEKNUM(Слияние1[[#This Row],[Дата]],2)</f>
        <v>18</v>
      </c>
      <c r="G29">
        <v>36</v>
      </c>
      <c r="H29">
        <v>4937</v>
      </c>
      <c r="I29">
        <v>4561</v>
      </c>
    </row>
    <row r="30" spans="1:9" x14ac:dyDescent="0.45">
      <c r="A30" s="12">
        <v>43971</v>
      </c>
      <c r="B30" s="13" t="s">
        <v>10</v>
      </c>
      <c r="C30">
        <v>34077</v>
      </c>
      <c r="D30">
        <v>2929330.5</v>
      </c>
      <c r="E30" s="14">
        <f t="shared" si="0"/>
        <v>1622.7142857142858</v>
      </c>
      <c r="F30">
        <f>WEEKNUM(Слияние1[[#This Row],[Дата]],2)</f>
        <v>21</v>
      </c>
      <c r="G30">
        <v>21</v>
      </c>
      <c r="H30">
        <v>1921</v>
      </c>
      <c r="I30">
        <v>1767</v>
      </c>
    </row>
    <row r="31" spans="1:9" x14ac:dyDescent="0.45">
      <c r="A31" s="12">
        <v>43950</v>
      </c>
      <c r="B31" s="13" t="s">
        <v>11</v>
      </c>
      <c r="C31">
        <v>79527</v>
      </c>
      <c r="D31">
        <v>7180498.5</v>
      </c>
      <c r="E31" s="14">
        <f t="shared" si="0"/>
        <v>2565.3870967741937</v>
      </c>
      <c r="F31">
        <f>WEEKNUM(Слияние1[[#This Row],[Дата]],2)</f>
        <v>18</v>
      </c>
      <c r="G31">
        <v>31</v>
      </c>
      <c r="H31">
        <v>5378</v>
      </c>
      <c r="I31">
        <v>4985</v>
      </c>
    </row>
    <row r="32" spans="1:9" x14ac:dyDescent="0.45">
      <c r="A32" s="12">
        <v>43956</v>
      </c>
      <c r="B32" s="13" t="s">
        <v>10</v>
      </c>
      <c r="C32">
        <v>31566</v>
      </c>
      <c r="D32">
        <v>2906763</v>
      </c>
      <c r="E32" s="14">
        <f t="shared" si="0"/>
        <v>1578.3</v>
      </c>
      <c r="F32">
        <f>WEEKNUM(Слияние1[[#This Row],[Дата]],2)</f>
        <v>19</v>
      </c>
      <c r="G32">
        <v>20</v>
      </c>
      <c r="H32">
        <v>1773</v>
      </c>
      <c r="I32">
        <v>1604</v>
      </c>
    </row>
    <row r="33" spans="1:9" x14ac:dyDescent="0.45">
      <c r="A33" s="12">
        <v>43950</v>
      </c>
      <c r="B33" s="13" t="s">
        <v>17</v>
      </c>
      <c r="C33">
        <v>29142</v>
      </c>
      <c r="D33">
        <v>2627595</v>
      </c>
      <c r="E33" s="14">
        <f t="shared" si="0"/>
        <v>1533.7894736842106</v>
      </c>
      <c r="F33">
        <f>WEEKNUM(Слияние1[[#This Row],[Дата]],2)</f>
        <v>18</v>
      </c>
      <c r="G33">
        <v>19</v>
      </c>
      <c r="H33">
        <v>1676</v>
      </c>
      <c r="I33">
        <v>1516</v>
      </c>
    </row>
    <row r="34" spans="1:9" x14ac:dyDescent="0.45">
      <c r="A34" s="12">
        <v>43964</v>
      </c>
      <c r="B34" s="13" t="s">
        <v>10</v>
      </c>
      <c r="C34">
        <v>29241</v>
      </c>
      <c r="D34">
        <v>2629782</v>
      </c>
      <c r="E34" s="14">
        <f t="shared" si="0"/>
        <v>1392.4285714285713</v>
      </c>
      <c r="F34">
        <f>WEEKNUM(Слияние1[[#This Row],[Дата]],2)</f>
        <v>20</v>
      </c>
      <c r="G34">
        <v>21</v>
      </c>
      <c r="H34">
        <v>1698</v>
      </c>
      <c r="I34">
        <v>1554</v>
      </c>
    </row>
    <row r="35" spans="1:9" x14ac:dyDescent="0.45">
      <c r="A35" s="12">
        <v>43950</v>
      </c>
      <c r="B35" s="13" t="s">
        <v>20</v>
      </c>
      <c r="C35">
        <v>25816.5</v>
      </c>
      <c r="D35">
        <v>2360914.5</v>
      </c>
      <c r="E35" s="14">
        <f t="shared" si="0"/>
        <v>1434.25</v>
      </c>
      <c r="F35">
        <f>WEEKNUM(Слияние1[[#This Row],[Дата]],2)</f>
        <v>18</v>
      </c>
      <c r="G35">
        <v>18</v>
      </c>
      <c r="H35">
        <v>1599</v>
      </c>
      <c r="I35">
        <v>1450</v>
      </c>
    </row>
    <row r="36" spans="1:9" x14ac:dyDescent="0.45">
      <c r="A36" s="12">
        <v>43954</v>
      </c>
      <c r="B36" s="13" t="s">
        <v>10</v>
      </c>
      <c r="C36">
        <v>26082</v>
      </c>
      <c r="D36">
        <v>2434914</v>
      </c>
      <c r="E36" s="14">
        <f t="shared" si="0"/>
        <v>1304.0999999999999</v>
      </c>
      <c r="F36">
        <f>WEEKNUM(Слияние1[[#This Row],[Дата]],2)</f>
        <v>18</v>
      </c>
      <c r="G36">
        <v>20</v>
      </c>
      <c r="H36">
        <v>1520</v>
      </c>
      <c r="I36">
        <v>1373</v>
      </c>
    </row>
    <row r="37" spans="1:9" x14ac:dyDescent="0.45">
      <c r="A37" s="12">
        <v>43950</v>
      </c>
      <c r="B37" s="13" t="s">
        <v>22</v>
      </c>
      <c r="C37">
        <v>203209.5</v>
      </c>
      <c r="D37">
        <v>20871391.5</v>
      </c>
      <c r="E37" s="14">
        <f t="shared" si="0"/>
        <v>3763.1388888888887</v>
      </c>
      <c r="F37">
        <f>WEEKNUM(Слияние1[[#This Row],[Дата]],2)</f>
        <v>18</v>
      </c>
      <c r="G37">
        <v>54</v>
      </c>
      <c r="H37">
        <v>12747</v>
      </c>
      <c r="I37">
        <v>11884</v>
      </c>
    </row>
    <row r="38" spans="1:9" x14ac:dyDescent="0.45">
      <c r="A38" s="12">
        <v>43957</v>
      </c>
      <c r="B38" s="13" t="s">
        <v>10</v>
      </c>
      <c r="C38">
        <v>32511</v>
      </c>
      <c r="D38">
        <v>2938623</v>
      </c>
      <c r="E38" s="14">
        <f t="shared" si="0"/>
        <v>1625.55</v>
      </c>
      <c r="F38">
        <f>WEEKNUM(Слияние1[[#This Row],[Дата]],2)</f>
        <v>19</v>
      </c>
      <c r="G38">
        <v>20</v>
      </c>
      <c r="H38">
        <v>1784</v>
      </c>
      <c r="I38">
        <v>1632</v>
      </c>
    </row>
    <row r="39" spans="1:9" x14ac:dyDescent="0.45">
      <c r="A39" s="12">
        <v>43950</v>
      </c>
      <c r="B39" s="13" t="s">
        <v>21</v>
      </c>
      <c r="C39">
        <v>208351.5</v>
      </c>
      <c r="D39">
        <v>21615333</v>
      </c>
      <c r="E39" s="14">
        <f t="shared" si="0"/>
        <v>3531.3813559322034</v>
      </c>
      <c r="F39">
        <f>WEEKNUM(Слияние1[[#This Row],[Дата]],2)</f>
        <v>18</v>
      </c>
      <c r="G39">
        <v>59</v>
      </c>
      <c r="H39">
        <v>13186</v>
      </c>
      <c r="I39">
        <v>12251</v>
      </c>
    </row>
    <row r="40" spans="1:9" x14ac:dyDescent="0.45">
      <c r="A40" s="12">
        <v>43974</v>
      </c>
      <c r="B40" s="13" t="s">
        <v>10</v>
      </c>
      <c r="C40">
        <v>42703.5</v>
      </c>
      <c r="D40">
        <v>3628726.5</v>
      </c>
      <c r="E40" s="14">
        <f t="shared" si="0"/>
        <v>2033.5</v>
      </c>
      <c r="F40">
        <f>WEEKNUM(Слияние1[[#This Row],[Дата]],2)</f>
        <v>21</v>
      </c>
      <c r="G40">
        <v>21</v>
      </c>
      <c r="H40">
        <v>2340</v>
      </c>
      <c r="I40">
        <v>2146</v>
      </c>
    </row>
    <row r="41" spans="1:9" x14ac:dyDescent="0.45">
      <c r="A41" s="12">
        <v>43950</v>
      </c>
      <c r="B41" s="13" t="s">
        <v>13</v>
      </c>
      <c r="C41">
        <v>25917</v>
      </c>
      <c r="D41">
        <v>2397588</v>
      </c>
      <c r="E41" s="14">
        <f t="shared" si="0"/>
        <v>1439.8333333333333</v>
      </c>
      <c r="F41">
        <f>WEEKNUM(Слияние1[[#This Row],[Дата]],2)</f>
        <v>18</v>
      </c>
      <c r="G41">
        <v>18</v>
      </c>
      <c r="H41">
        <v>1534</v>
      </c>
      <c r="I41">
        <v>1369</v>
      </c>
    </row>
    <row r="42" spans="1:9" x14ac:dyDescent="0.45">
      <c r="A42" s="12">
        <v>43976</v>
      </c>
      <c r="B42" s="13" t="s">
        <v>10</v>
      </c>
      <c r="C42">
        <v>35592</v>
      </c>
      <c r="D42">
        <v>3176580</v>
      </c>
      <c r="E42" s="14">
        <f t="shared" si="0"/>
        <v>1779.6</v>
      </c>
      <c r="F42">
        <f>WEEKNUM(Слияние1[[#This Row],[Дата]],2)</f>
        <v>22</v>
      </c>
      <c r="G42">
        <v>20</v>
      </c>
      <c r="H42">
        <v>2087</v>
      </c>
      <c r="I42">
        <v>1914</v>
      </c>
    </row>
    <row r="43" spans="1:9" x14ac:dyDescent="0.45">
      <c r="A43" s="12">
        <v>43950</v>
      </c>
      <c r="B43" s="13" t="s">
        <v>23</v>
      </c>
      <c r="C43">
        <v>12250.5</v>
      </c>
      <c r="D43">
        <v>981519</v>
      </c>
      <c r="E43" s="14">
        <f t="shared" si="0"/>
        <v>816.7</v>
      </c>
      <c r="F43">
        <f>WEEKNUM(Слияние1[[#This Row],[Дата]],2)</f>
        <v>18</v>
      </c>
      <c r="G43">
        <v>15</v>
      </c>
      <c r="H43">
        <v>659</v>
      </c>
      <c r="I43">
        <v>575</v>
      </c>
    </row>
    <row r="44" spans="1:9" x14ac:dyDescent="0.45">
      <c r="A44" s="12">
        <v>43951</v>
      </c>
      <c r="B44" s="13" t="s">
        <v>10</v>
      </c>
      <c r="C44">
        <v>30445.5</v>
      </c>
      <c r="D44">
        <v>2817196.5</v>
      </c>
      <c r="E44" s="14">
        <f t="shared" si="0"/>
        <v>1602.3947368421052</v>
      </c>
      <c r="F44">
        <f>WEEKNUM(Слияние1[[#This Row],[Дата]],2)</f>
        <v>18</v>
      </c>
      <c r="G44">
        <v>19</v>
      </c>
      <c r="H44">
        <v>1712</v>
      </c>
      <c r="I44">
        <v>1552</v>
      </c>
    </row>
    <row r="45" spans="1:9" x14ac:dyDescent="0.45">
      <c r="A45" s="12">
        <v>43950</v>
      </c>
      <c r="B45" s="13" t="s">
        <v>18</v>
      </c>
      <c r="C45">
        <v>13014</v>
      </c>
      <c r="D45">
        <v>1115992.5</v>
      </c>
      <c r="E45" s="14">
        <f t="shared" si="0"/>
        <v>867.6</v>
      </c>
      <c r="F45">
        <f>WEEKNUM(Слияние1[[#This Row],[Дата]],2)</f>
        <v>18</v>
      </c>
      <c r="G45">
        <v>15</v>
      </c>
      <c r="H45">
        <v>786</v>
      </c>
      <c r="I45">
        <v>695</v>
      </c>
    </row>
    <row r="46" spans="1:9" x14ac:dyDescent="0.45">
      <c r="A46" s="12">
        <v>43961</v>
      </c>
      <c r="B46" s="13" t="s">
        <v>10</v>
      </c>
      <c r="C46">
        <v>36619.5</v>
      </c>
      <c r="D46">
        <v>3312967.5</v>
      </c>
      <c r="E46" s="14">
        <f t="shared" si="0"/>
        <v>1743.7857142857142</v>
      </c>
      <c r="F46">
        <f>WEEKNUM(Слияние1[[#This Row],[Дата]],2)</f>
        <v>19</v>
      </c>
      <c r="G46">
        <v>21</v>
      </c>
      <c r="H46">
        <v>2016</v>
      </c>
      <c r="I46">
        <v>1846</v>
      </c>
    </row>
    <row r="47" spans="1:9" x14ac:dyDescent="0.45">
      <c r="A47" s="12">
        <v>43950</v>
      </c>
      <c r="B47" s="13" t="s">
        <v>15</v>
      </c>
      <c r="C47">
        <v>387220.5</v>
      </c>
      <c r="D47">
        <v>41559384</v>
      </c>
      <c r="E47" s="14">
        <f t="shared" si="0"/>
        <v>3097.7640000000001</v>
      </c>
      <c r="F47">
        <f>WEEKNUM(Слияние1[[#This Row],[Дата]],2)</f>
        <v>18</v>
      </c>
      <c r="G47">
        <v>125</v>
      </c>
      <c r="H47">
        <v>21863</v>
      </c>
      <c r="I47">
        <v>20160</v>
      </c>
    </row>
    <row r="48" spans="1:9" x14ac:dyDescent="0.45">
      <c r="A48" s="12">
        <v>43959</v>
      </c>
      <c r="B48" s="13" t="s">
        <v>10</v>
      </c>
      <c r="C48">
        <v>29409</v>
      </c>
      <c r="D48">
        <v>2645160</v>
      </c>
      <c r="E48" s="14">
        <f t="shared" si="0"/>
        <v>1400.4285714285713</v>
      </c>
      <c r="F48">
        <f>WEEKNUM(Слияние1[[#This Row],[Дата]],2)</f>
        <v>19</v>
      </c>
      <c r="G48">
        <v>21</v>
      </c>
      <c r="H48">
        <v>1646</v>
      </c>
      <c r="I48">
        <v>1492</v>
      </c>
    </row>
    <row r="49" spans="1:9" x14ac:dyDescent="0.45">
      <c r="A49" s="12">
        <v>43950</v>
      </c>
      <c r="B49" s="13" t="s">
        <v>14</v>
      </c>
      <c r="C49">
        <v>298059</v>
      </c>
      <c r="D49">
        <v>30869287.5</v>
      </c>
      <c r="E49" s="14">
        <f t="shared" si="0"/>
        <v>2328.5859375</v>
      </c>
      <c r="F49">
        <f>WEEKNUM(Слияние1[[#This Row],[Дата]],2)</f>
        <v>18</v>
      </c>
      <c r="G49">
        <v>128</v>
      </c>
      <c r="H49">
        <v>17368</v>
      </c>
      <c r="I49">
        <v>16077</v>
      </c>
    </row>
    <row r="50" spans="1:9" x14ac:dyDescent="0.45">
      <c r="A50" s="12">
        <v>43958</v>
      </c>
      <c r="B50" s="13" t="s">
        <v>10</v>
      </c>
      <c r="C50">
        <v>27018</v>
      </c>
      <c r="D50">
        <v>2472213</v>
      </c>
      <c r="E50" s="14">
        <f t="shared" si="0"/>
        <v>1286.5714285714287</v>
      </c>
      <c r="F50">
        <f>WEEKNUM(Слияние1[[#This Row],[Дата]],2)</f>
        <v>19</v>
      </c>
      <c r="G50">
        <v>21</v>
      </c>
      <c r="H50">
        <v>1542</v>
      </c>
      <c r="I50">
        <v>1405</v>
      </c>
    </row>
    <row r="51" spans="1:9" x14ac:dyDescent="0.45">
      <c r="A51" s="12">
        <v>43950</v>
      </c>
      <c r="B51" s="13" t="s">
        <v>12</v>
      </c>
      <c r="C51">
        <v>10840.5</v>
      </c>
      <c r="D51">
        <v>797919</v>
      </c>
      <c r="E51" s="14">
        <f t="shared" si="0"/>
        <v>1084.05</v>
      </c>
      <c r="F51">
        <f>WEEKNUM(Слияние1[[#This Row],[Дата]],2)</f>
        <v>18</v>
      </c>
      <c r="G51">
        <v>10</v>
      </c>
      <c r="H51">
        <v>502</v>
      </c>
      <c r="I51">
        <v>433</v>
      </c>
    </row>
    <row r="52" spans="1:9" x14ac:dyDescent="0.45">
      <c r="A52" s="12">
        <v>43975</v>
      </c>
      <c r="B52" s="13" t="s">
        <v>10</v>
      </c>
      <c r="C52">
        <v>34303.5</v>
      </c>
      <c r="D52">
        <v>2924746.5</v>
      </c>
      <c r="E52" s="14">
        <f t="shared" si="0"/>
        <v>1715.175</v>
      </c>
      <c r="F52">
        <f>WEEKNUM(Слияние1[[#This Row],[Дата]],2)</f>
        <v>21</v>
      </c>
      <c r="G52">
        <v>20</v>
      </c>
      <c r="H52">
        <v>1999</v>
      </c>
      <c r="I52">
        <v>1829</v>
      </c>
    </row>
    <row r="53" spans="1:9" x14ac:dyDescent="0.45">
      <c r="A53" s="12">
        <v>43951</v>
      </c>
      <c r="B53" s="13" t="s">
        <v>16</v>
      </c>
      <c r="C53">
        <v>78235.5</v>
      </c>
      <c r="D53">
        <v>6819594</v>
      </c>
      <c r="E53" s="14">
        <f t="shared" si="0"/>
        <v>2173.2083333333335</v>
      </c>
      <c r="F53">
        <f>WEEKNUM(Слияние1[[#This Row],[Дата]],2)</f>
        <v>18</v>
      </c>
      <c r="G53">
        <v>36</v>
      </c>
      <c r="H53">
        <v>5143</v>
      </c>
      <c r="I53">
        <v>4715</v>
      </c>
    </row>
    <row r="54" spans="1:9" x14ac:dyDescent="0.45">
      <c r="A54" s="12">
        <v>43982</v>
      </c>
      <c r="B54" s="13" t="s">
        <v>10</v>
      </c>
      <c r="C54">
        <v>36999</v>
      </c>
      <c r="D54">
        <v>3473895</v>
      </c>
      <c r="E54" s="14">
        <f t="shared" si="0"/>
        <v>1761.8571428571429</v>
      </c>
      <c r="F54">
        <f>WEEKNUM(Слияние1[[#This Row],[Дата]],2)</f>
        <v>22</v>
      </c>
      <c r="G54">
        <v>21</v>
      </c>
      <c r="H54">
        <v>2271</v>
      </c>
      <c r="I54">
        <v>2085</v>
      </c>
    </row>
    <row r="55" spans="1:9" x14ac:dyDescent="0.45">
      <c r="A55" s="12">
        <v>43951</v>
      </c>
      <c r="B55" s="13" t="s">
        <v>11</v>
      </c>
      <c r="C55">
        <v>77565</v>
      </c>
      <c r="D55">
        <v>7023727.5</v>
      </c>
      <c r="E55" s="14">
        <f t="shared" si="0"/>
        <v>2502.0967741935483</v>
      </c>
      <c r="F55">
        <f>WEEKNUM(Слияние1[[#This Row],[Дата]],2)</f>
        <v>18</v>
      </c>
      <c r="G55">
        <v>31</v>
      </c>
      <c r="H55">
        <v>5120</v>
      </c>
      <c r="I55">
        <v>4737</v>
      </c>
    </row>
    <row r="56" spans="1:9" x14ac:dyDescent="0.45">
      <c r="A56" s="12">
        <v>43981</v>
      </c>
      <c r="B56" s="13" t="s">
        <v>10</v>
      </c>
      <c r="C56">
        <v>44001</v>
      </c>
      <c r="D56">
        <v>3921784.5</v>
      </c>
      <c r="E56" s="14">
        <f t="shared" si="0"/>
        <v>2200.0500000000002</v>
      </c>
      <c r="F56">
        <f>WEEKNUM(Слияние1[[#This Row],[Дата]],2)</f>
        <v>22</v>
      </c>
      <c r="G56">
        <v>20</v>
      </c>
      <c r="H56">
        <v>2597</v>
      </c>
      <c r="I56">
        <v>2376</v>
      </c>
    </row>
    <row r="57" spans="1:9" x14ac:dyDescent="0.45">
      <c r="A57" s="12">
        <v>43951</v>
      </c>
      <c r="B57" s="13" t="s">
        <v>17</v>
      </c>
      <c r="C57">
        <v>31231.5</v>
      </c>
      <c r="D57">
        <v>2853310.5</v>
      </c>
      <c r="E57" s="14">
        <f t="shared" si="0"/>
        <v>1561.575</v>
      </c>
      <c r="F57">
        <f>WEEKNUM(Слияние1[[#This Row],[Дата]],2)</f>
        <v>18</v>
      </c>
      <c r="G57">
        <v>20</v>
      </c>
      <c r="H57">
        <v>1756</v>
      </c>
      <c r="I57">
        <v>1586</v>
      </c>
    </row>
    <row r="58" spans="1:9" x14ac:dyDescent="0.45">
      <c r="A58" s="12">
        <v>43979</v>
      </c>
      <c r="B58" s="13" t="s">
        <v>10</v>
      </c>
      <c r="C58">
        <v>30982.5</v>
      </c>
      <c r="D58">
        <v>2827773</v>
      </c>
      <c r="E58" s="14">
        <f t="shared" si="0"/>
        <v>1549.125</v>
      </c>
      <c r="F58">
        <f>WEEKNUM(Слияние1[[#This Row],[Дата]],2)</f>
        <v>22</v>
      </c>
      <c r="G58">
        <v>20</v>
      </c>
      <c r="H58">
        <v>1886</v>
      </c>
      <c r="I58">
        <v>1736</v>
      </c>
    </row>
    <row r="59" spans="1:9" x14ac:dyDescent="0.45">
      <c r="A59" s="12">
        <v>43967</v>
      </c>
      <c r="B59" s="13" t="s">
        <v>11</v>
      </c>
      <c r="C59">
        <v>88063.5</v>
      </c>
      <c r="D59">
        <v>7583758.5</v>
      </c>
      <c r="E59" s="14">
        <f t="shared" si="0"/>
        <v>2840.7580645161293</v>
      </c>
      <c r="F59">
        <f>WEEKNUM(Слияние1[[#This Row],[Дата]],2)</f>
        <v>20</v>
      </c>
      <c r="G59">
        <v>31</v>
      </c>
      <c r="H59">
        <v>5593</v>
      </c>
      <c r="I59">
        <v>5177</v>
      </c>
    </row>
    <row r="60" spans="1:9" x14ac:dyDescent="0.45">
      <c r="A60" s="12">
        <v>43951</v>
      </c>
      <c r="B60" s="13" t="s">
        <v>20</v>
      </c>
      <c r="C60">
        <v>27883.5</v>
      </c>
      <c r="D60">
        <v>2560080</v>
      </c>
      <c r="E60" s="14">
        <f t="shared" si="0"/>
        <v>1467.5526315789473</v>
      </c>
      <c r="F60">
        <f>WEEKNUM(Слияние1[[#This Row],[Дата]],2)</f>
        <v>18</v>
      </c>
      <c r="G60">
        <v>19</v>
      </c>
      <c r="H60">
        <v>1662</v>
      </c>
      <c r="I60">
        <v>1506</v>
      </c>
    </row>
    <row r="61" spans="1:9" x14ac:dyDescent="0.45">
      <c r="A61" s="12">
        <v>43970</v>
      </c>
      <c r="B61" s="13" t="s">
        <v>11</v>
      </c>
      <c r="C61">
        <v>84024</v>
      </c>
      <c r="D61">
        <v>6815511</v>
      </c>
      <c r="E61" s="14">
        <f t="shared" si="0"/>
        <v>2710.4516129032259</v>
      </c>
      <c r="F61">
        <f>WEEKNUM(Слияние1[[#This Row],[Дата]],2)</f>
        <v>21</v>
      </c>
      <c r="G61">
        <v>31</v>
      </c>
      <c r="H61">
        <v>5389</v>
      </c>
      <c r="I61">
        <v>5024</v>
      </c>
    </row>
    <row r="62" spans="1:9" x14ac:dyDescent="0.45">
      <c r="A62" s="12">
        <v>43951</v>
      </c>
      <c r="B62" s="13" t="s">
        <v>22</v>
      </c>
      <c r="C62">
        <v>206038.5</v>
      </c>
      <c r="D62">
        <v>21740460</v>
      </c>
      <c r="E62" s="14">
        <f t="shared" si="0"/>
        <v>3815.5277777777778</v>
      </c>
      <c r="F62">
        <f>WEEKNUM(Слияние1[[#This Row],[Дата]],2)</f>
        <v>18</v>
      </c>
      <c r="G62">
        <v>54</v>
      </c>
      <c r="H62">
        <v>12817</v>
      </c>
      <c r="I62">
        <v>11865</v>
      </c>
    </row>
    <row r="63" spans="1:9" x14ac:dyDescent="0.45">
      <c r="A63" s="12">
        <v>43968</v>
      </c>
      <c r="B63" s="13" t="s">
        <v>11</v>
      </c>
      <c r="C63">
        <v>78057</v>
      </c>
      <c r="D63">
        <v>6774946.5</v>
      </c>
      <c r="E63" s="14">
        <f t="shared" si="0"/>
        <v>2517.9677419354839</v>
      </c>
      <c r="F63">
        <f>WEEKNUM(Слияние1[[#This Row],[Дата]],2)</f>
        <v>20</v>
      </c>
      <c r="G63">
        <v>31</v>
      </c>
      <c r="H63">
        <v>5206</v>
      </c>
      <c r="I63">
        <v>4843</v>
      </c>
    </row>
    <row r="64" spans="1:9" x14ac:dyDescent="0.45">
      <c r="A64" s="12">
        <v>43951</v>
      </c>
      <c r="B64" s="13" t="s">
        <v>21</v>
      </c>
      <c r="C64">
        <v>214386</v>
      </c>
      <c r="D64">
        <v>22530000</v>
      </c>
      <c r="E64" s="14">
        <f t="shared" si="0"/>
        <v>3633.6610169491523</v>
      </c>
      <c r="F64">
        <f>WEEKNUM(Слияние1[[#This Row],[Дата]],2)</f>
        <v>18</v>
      </c>
      <c r="G64">
        <v>59</v>
      </c>
      <c r="H64">
        <v>13251</v>
      </c>
      <c r="I64">
        <v>12255</v>
      </c>
    </row>
    <row r="65" spans="1:9" x14ac:dyDescent="0.45">
      <c r="A65" s="12">
        <v>43960</v>
      </c>
      <c r="B65" s="13" t="s">
        <v>11</v>
      </c>
      <c r="C65">
        <v>69720</v>
      </c>
      <c r="D65">
        <v>6264933</v>
      </c>
      <c r="E65" s="14">
        <f t="shared" si="0"/>
        <v>2249.0322580645161</v>
      </c>
      <c r="F65">
        <f>WEEKNUM(Слияние1[[#This Row],[Дата]],2)</f>
        <v>19</v>
      </c>
      <c r="G65">
        <v>31</v>
      </c>
      <c r="H65">
        <v>4556</v>
      </c>
      <c r="I65">
        <v>4220</v>
      </c>
    </row>
    <row r="66" spans="1:9" x14ac:dyDescent="0.45">
      <c r="A66" s="12">
        <v>43951</v>
      </c>
      <c r="B66" s="13" t="s">
        <v>13</v>
      </c>
      <c r="C66">
        <v>24211.5</v>
      </c>
      <c r="D66">
        <v>2267664</v>
      </c>
      <c r="E66" s="14">
        <f t="shared" si="0"/>
        <v>1274.2894736842106</v>
      </c>
      <c r="F66">
        <f>WEEKNUM(Слияние1[[#This Row],[Дата]],2)</f>
        <v>18</v>
      </c>
      <c r="G66">
        <v>19</v>
      </c>
      <c r="H66">
        <v>1499</v>
      </c>
      <c r="I66">
        <v>1322</v>
      </c>
    </row>
    <row r="67" spans="1:9" x14ac:dyDescent="0.45">
      <c r="A67" s="12">
        <v>43955</v>
      </c>
      <c r="B67" s="13" t="s">
        <v>11</v>
      </c>
      <c r="C67">
        <v>72928.5</v>
      </c>
      <c r="D67">
        <v>6642249</v>
      </c>
      <c r="E67" s="14">
        <f t="shared" ref="E67:E130" si="1">C67/G67</f>
        <v>2352.5322580645161</v>
      </c>
      <c r="F67">
        <f>WEEKNUM(Слияние1[[#This Row],[Дата]],2)</f>
        <v>19</v>
      </c>
      <c r="G67">
        <v>31</v>
      </c>
      <c r="H67">
        <v>4968</v>
      </c>
      <c r="I67">
        <v>4596</v>
      </c>
    </row>
    <row r="68" spans="1:9" x14ac:dyDescent="0.45">
      <c r="A68" s="12">
        <v>43951</v>
      </c>
      <c r="B68" s="13" t="s">
        <v>23</v>
      </c>
      <c r="C68">
        <v>11976</v>
      </c>
      <c r="D68">
        <v>1004511</v>
      </c>
      <c r="E68" s="14">
        <f t="shared" si="1"/>
        <v>798.4</v>
      </c>
      <c r="F68">
        <f>WEEKNUM(Слияние1[[#This Row],[Дата]],2)</f>
        <v>18</v>
      </c>
      <c r="G68">
        <v>15</v>
      </c>
      <c r="H68">
        <v>644</v>
      </c>
      <c r="I68">
        <v>550</v>
      </c>
    </row>
    <row r="69" spans="1:9" x14ac:dyDescent="0.45">
      <c r="A69" s="12">
        <v>43951</v>
      </c>
      <c r="B69" s="13" t="s">
        <v>18</v>
      </c>
      <c r="C69">
        <v>12753</v>
      </c>
      <c r="D69">
        <v>1103068.5</v>
      </c>
      <c r="E69" s="14">
        <f t="shared" si="1"/>
        <v>850.2</v>
      </c>
      <c r="F69">
        <f>WEEKNUM(Слияние1[[#This Row],[Дата]],2)</f>
        <v>18</v>
      </c>
      <c r="G69">
        <v>15</v>
      </c>
      <c r="H69">
        <v>791</v>
      </c>
      <c r="I69">
        <v>691</v>
      </c>
    </row>
    <row r="70" spans="1:9" x14ac:dyDescent="0.45">
      <c r="A70" s="12">
        <v>43953</v>
      </c>
      <c r="B70" s="13" t="s">
        <v>11</v>
      </c>
      <c r="C70">
        <v>60463.5</v>
      </c>
      <c r="D70">
        <v>5554192.5</v>
      </c>
      <c r="E70" s="14">
        <f t="shared" si="1"/>
        <v>1950.4354838709678</v>
      </c>
      <c r="F70">
        <f>WEEKNUM(Слияние1[[#This Row],[Дата]],2)</f>
        <v>18</v>
      </c>
      <c r="G70">
        <v>31</v>
      </c>
      <c r="H70">
        <v>4157</v>
      </c>
      <c r="I70">
        <v>3823</v>
      </c>
    </row>
    <row r="71" spans="1:9" x14ac:dyDescent="0.45">
      <c r="A71" s="12">
        <v>43951</v>
      </c>
      <c r="B71" s="13" t="s">
        <v>19</v>
      </c>
      <c r="C71">
        <v>4285.5</v>
      </c>
      <c r="D71">
        <v>404691</v>
      </c>
      <c r="E71" s="14">
        <f t="shared" si="1"/>
        <v>285.7</v>
      </c>
      <c r="F71">
        <f>WEEKNUM(Слияние1[[#This Row],[Дата]],2)</f>
        <v>18</v>
      </c>
      <c r="G71">
        <v>15</v>
      </c>
      <c r="H71">
        <v>262</v>
      </c>
      <c r="I71">
        <v>195</v>
      </c>
    </row>
    <row r="72" spans="1:9" x14ac:dyDescent="0.45">
      <c r="A72" s="12">
        <v>43977</v>
      </c>
      <c r="B72" s="13" t="s">
        <v>11</v>
      </c>
      <c r="C72">
        <v>79975.5</v>
      </c>
      <c r="D72">
        <v>6676459.5</v>
      </c>
      <c r="E72" s="14">
        <f t="shared" si="1"/>
        <v>2579.8548387096776</v>
      </c>
      <c r="F72">
        <f>WEEKNUM(Слияние1[[#This Row],[Дата]],2)</f>
        <v>22</v>
      </c>
      <c r="G72">
        <v>31</v>
      </c>
      <c r="H72">
        <v>5493</v>
      </c>
      <c r="I72">
        <v>5119</v>
      </c>
    </row>
    <row r="73" spans="1:9" x14ac:dyDescent="0.45">
      <c r="A73" s="12">
        <v>43951</v>
      </c>
      <c r="B73" s="13" t="s">
        <v>15</v>
      </c>
      <c r="C73">
        <v>401580</v>
      </c>
      <c r="D73">
        <v>43028734.5</v>
      </c>
      <c r="E73" s="14">
        <f t="shared" si="1"/>
        <v>3212.64</v>
      </c>
      <c r="F73">
        <f>WEEKNUM(Слияние1[[#This Row],[Дата]],2)</f>
        <v>18</v>
      </c>
      <c r="G73">
        <v>125</v>
      </c>
      <c r="H73">
        <v>22368</v>
      </c>
      <c r="I73">
        <v>20625</v>
      </c>
    </row>
    <row r="74" spans="1:9" x14ac:dyDescent="0.45">
      <c r="A74" s="12">
        <v>43952</v>
      </c>
      <c r="B74" s="13" t="s">
        <v>11</v>
      </c>
      <c r="C74">
        <v>97534.5</v>
      </c>
      <c r="D74">
        <v>8893024.5</v>
      </c>
      <c r="E74" s="14">
        <f t="shared" si="1"/>
        <v>3146.2741935483873</v>
      </c>
      <c r="F74">
        <f>WEEKNUM(Слияние1[[#This Row],[Дата]],2)</f>
        <v>18</v>
      </c>
      <c r="G74">
        <v>31</v>
      </c>
      <c r="H74">
        <v>6118</v>
      </c>
      <c r="I74">
        <v>5564</v>
      </c>
    </row>
    <row r="75" spans="1:9" x14ac:dyDescent="0.45">
      <c r="A75" s="12">
        <v>43951</v>
      </c>
      <c r="B75" s="13" t="s">
        <v>14</v>
      </c>
      <c r="C75">
        <v>311131.5</v>
      </c>
      <c r="D75">
        <v>32418879</v>
      </c>
      <c r="E75" s="14">
        <f t="shared" si="1"/>
        <v>2411.8720930232557</v>
      </c>
      <c r="F75">
        <f>WEEKNUM(Слияние1[[#This Row],[Дата]],2)</f>
        <v>18</v>
      </c>
      <c r="G75">
        <v>129</v>
      </c>
      <c r="H75">
        <v>18042</v>
      </c>
      <c r="I75">
        <v>16631</v>
      </c>
    </row>
    <row r="76" spans="1:9" x14ac:dyDescent="0.45">
      <c r="A76" s="12">
        <v>43963</v>
      </c>
      <c r="B76" s="13" t="s">
        <v>11</v>
      </c>
      <c r="C76">
        <v>71520</v>
      </c>
      <c r="D76">
        <v>6398361</v>
      </c>
      <c r="E76" s="14">
        <f t="shared" si="1"/>
        <v>2307.0967741935483</v>
      </c>
      <c r="F76">
        <f>WEEKNUM(Слияние1[[#This Row],[Дата]],2)</f>
        <v>20</v>
      </c>
      <c r="G76">
        <v>31</v>
      </c>
      <c r="H76">
        <v>4800</v>
      </c>
      <c r="I76">
        <v>4470</v>
      </c>
    </row>
    <row r="77" spans="1:9" x14ac:dyDescent="0.45">
      <c r="A77" s="12">
        <v>43951</v>
      </c>
      <c r="B77" s="13" t="s">
        <v>12</v>
      </c>
      <c r="C77">
        <v>8934</v>
      </c>
      <c r="D77">
        <v>716196</v>
      </c>
      <c r="E77" s="14">
        <f t="shared" si="1"/>
        <v>893.4</v>
      </c>
      <c r="F77">
        <f>WEEKNUM(Слияние1[[#This Row],[Дата]],2)</f>
        <v>18</v>
      </c>
      <c r="G77">
        <v>10</v>
      </c>
      <c r="H77">
        <v>448</v>
      </c>
      <c r="I77">
        <v>376</v>
      </c>
    </row>
    <row r="78" spans="1:9" x14ac:dyDescent="0.45">
      <c r="A78" s="12">
        <v>43972</v>
      </c>
      <c r="B78" s="13" t="s">
        <v>11</v>
      </c>
      <c r="C78">
        <v>79485</v>
      </c>
      <c r="D78">
        <v>6633847.5</v>
      </c>
      <c r="E78" s="14">
        <f t="shared" si="1"/>
        <v>2564.0322580645161</v>
      </c>
      <c r="F78">
        <f>WEEKNUM(Слияние1[[#This Row],[Дата]],2)</f>
        <v>21</v>
      </c>
      <c r="G78">
        <v>31</v>
      </c>
      <c r="H78">
        <v>5207</v>
      </c>
      <c r="I78">
        <v>4868</v>
      </c>
    </row>
    <row r="79" spans="1:9" x14ac:dyDescent="0.45">
      <c r="A79" s="12">
        <v>43952</v>
      </c>
      <c r="B79" s="13" t="s">
        <v>16</v>
      </c>
      <c r="C79">
        <v>82228.5</v>
      </c>
      <c r="D79">
        <v>7032225</v>
      </c>
      <c r="E79" s="14">
        <f t="shared" si="1"/>
        <v>2284.125</v>
      </c>
      <c r="F79">
        <f>WEEKNUM(Слияние1[[#This Row],[Дата]],2)</f>
        <v>18</v>
      </c>
      <c r="G79">
        <v>36</v>
      </c>
      <c r="H79">
        <v>5457</v>
      </c>
      <c r="I79">
        <v>4916</v>
      </c>
    </row>
    <row r="80" spans="1:9" x14ac:dyDescent="0.45">
      <c r="A80" s="12">
        <v>43971</v>
      </c>
      <c r="B80" s="13" t="s">
        <v>11</v>
      </c>
      <c r="C80">
        <v>93313.5</v>
      </c>
      <c r="D80">
        <v>7247575.5</v>
      </c>
      <c r="E80" s="14">
        <f t="shared" si="1"/>
        <v>3010.1129032258063</v>
      </c>
      <c r="F80">
        <f>WEEKNUM(Слияние1[[#This Row],[Дата]],2)</f>
        <v>21</v>
      </c>
      <c r="G80">
        <v>31</v>
      </c>
      <c r="H80">
        <v>5698</v>
      </c>
      <c r="I80">
        <v>5258</v>
      </c>
    </row>
    <row r="81" spans="1:9" x14ac:dyDescent="0.45">
      <c r="A81" s="12">
        <v>43956</v>
      </c>
      <c r="B81" s="13" t="s">
        <v>11</v>
      </c>
      <c r="C81">
        <v>76585.5</v>
      </c>
      <c r="D81">
        <v>6921316.5</v>
      </c>
      <c r="E81" s="14">
        <f t="shared" si="1"/>
        <v>2470.5</v>
      </c>
      <c r="F81">
        <f>WEEKNUM(Слияние1[[#This Row],[Дата]],2)</f>
        <v>19</v>
      </c>
      <c r="G81">
        <v>31</v>
      </c>
      <c r="H81">
        <v>5188</v>
      </c>
      <c r="I81">
        <v>4800</v>
      </c>
    </row>
    <row r="82" spans="1:9" x14ac:dyDescent="0.45">
      <c r="A82" s="12">
        <v>43952</v>
      </c>
      <c r="B82" s="13" t="s">
        <v>17</v>
      </c>
      <c r="C82">
        <v>46620</v>
      </c>
      <c r="D82">
        <v>4293241.5</v>
      </c>
      <c r="E82" s="14">
        <f t="shared" si="1"/>
        <v>2331</v>
      </c>
      <c r="F82">
        <f>WEEKNUM(Слияние1[[#This Row],[Дата]],2)</f>
        <v>18</v>
      </c>
      <c r="G82">
        <v>20</v>
      </c>
      <c r="H82">
        <v>2468</v>
      </c>
      <c r="I82">
        <v>2221</v>
      </c>
    </row>
    <row r="83" spans="1:9" x14ac:dyDescent="0.45">
      <c r="A83" s="12">
        <v>43964</v>
      </c>
      <c r="B83" s="13" t="s">
        <v>11</v>
      </c>
      <c r="C83">
        <v>78846</v>
      </c>
      <c r="D83">
        <v>6993952.5</v>
      </c>
      <c r="E83" s="14">
        <f t="shared" si="1"/>
        <v>2543.4193548387098</v>
      </c>
      <c r="F83">
        <f>WEEKNUM(Слияние1[[#This Row],[Дата]],2)</f>
        <v>20</v>
      </c>
      <c r="G83">
        <v>31</v>
      </c>
      <c r="H83">
        <v>5251</v>
      </c>
      <c r="I83">
        <v>4853</v>
      </c>
    </row>
    <row r="84" spans="1:9" x14ac:dyDescent="0.45">
      <c r="A84" s="12">
        <v>43952</v>
      </c>
      <c r="B84" s="13" t="s">
        <v>20</v>
      </c>
      <c r="C84">
        <v>35190</v>
      </c>
      <c r="D84">
        <v>3168510</v>
      </c>
      <c r="E84" s="14">
        <f t="shared" si="1"/>
        <v>1852.1052631578948</v>
      </c>
      <c r="F84">
        <f>WEEKNUM(Слияние1[[#This Row],[Дата]],2)</f>
        <v>18</v>
      </c>
      <c r="G84">
        <v>19</v>
      </c>
      <c r="H84">
        <v>1987</v>
      </c>
      <c r="I84">
        <v>1791</v>
      </c>
    </row>
    <row r="85" spans="1:9" x14ac:dyDescent="0.45">
      <c r="A85" s="12">
        <v>43954</v>
      </c>
      <c r="B85" s="13" t="s">
        <v>11</v>
      </c>
      <c r="C85">
        <v>77263.5</v>
      </c>
      <c r="D85">
        <v>7013670</v>
      </c>
      <c r="E85" s="14">
        <f t="shared" si="1"/>
        <v>2492.3709677419356</v>
      </c>
      <c r="F85">
        <f>WEEKNUM(Слияние1[[#This Row],[Дата]],2)</f>
        <v>18</v>
      </c>
      <c r="G85">
        <v>31</v>
      </c>
      <c r="H85">
        <v>5155</v>
      </c>
      <c r="I85">
        <v>4762</v>
      </c>
    </row>
    <row r="86" spans="1:9" x14ac:dyDescent="0.45">
      <c r="A86" s="12">
        <v>43952</v>
      </c>
      <c r="B86" s="13" t="s">
        <v>22</v>
      </c>
      <c r="C86">
        <v>226540.5</v>
      </c>
      <c r="D86">
        <v>23953536</v>
      </c>
      <c r="E86" s="14">
        <f t="shared" si="1"/>
        <v>4195.1944444444443</v>
      </c>
      <c r="F86">
        <f>WEEKNUM(Слияние1[[#This Row],[Дата]],2)</f>
        <v>18</v>
      </c>
      <c r="G86">
        <v>54</v>
      </c>
      <c r="H86">
        <v>14205</v>
      </c>
      <c r="I86">
        <v>13026</v>
      </c>
    </row>
    <row r="87" spans="1:9" x14ac:dyDescent="0.45">
      <c r="A87" s="12">
        <v>43957</v>
      </c>
      <c r="B87" s="13" t="s">
        <v>11</v>
      </c>
      <c r="C87">
        <v>68994</v>
      </c>
      <c r="D87">
        <v>6168657</v>
      </c>
      <c r="E87" s="14">
        <f t="shared" si="1"/>
        <v>2225.6129032258063</v>
      </c>
      <c r="F87">
        <f>WEEKNUM(Слияние1[[#This Row],[Дата]],2)</f>
        <v>19</v>
      </c>
      <c r="G87">
        <v>31</v>
      </c>
      <c r="H87">
        <v>4709</v>
      </c>
      <c r="I87">
        <v>4348</v>
      </c>
    </row>
    <row r="88" spans="1:9" x14ac:dyDescent="0.45">
      <c r="A88" s="12">
        <v>43952</v>
      </c>
      <c r="B88" s="13" t="s">
        <v>21</v>
      </c>
      <c r="C88">
        <v>239409</v>
      </c>
      <c r="D88">
        <v>25413351</v>
      </c>
      <c r="E88" s="14">
        <f t="shared" si="1"/>
        <v>4057.7796610169494</v>
      </c>
      <c r="F88">
        <f>WEEKNUM(Слияние1[[#This Row],[Дата]],2)</f>
        <v>18</v>
      </c>
      <c r="G88">
        <v>59</v>
      </c>
      <c r="H88">
        <v>15222</v>
      </c>
      <c r="I88">
        <v>13873</v>
      </c>
    </row>
    <row r="89" spans="1:9" x14ac:dyDescent="0.45">
      <c r="A89" s="12">
        <v>43974</v>
      </c>
      <c r="B89" s="13" t="s">
        <v>11</v>
      </c>
      <c r="C89">
        <v>102889.5</v>
      </c>
      <c r="D89">
        <v>8089143</v>
      </c>
      <c r="E89" s="14">
        <f t="shared" si="1"/>
        <v>3319.016129032258</v>
      </c>
      <c r="F89">
        <f>WEEKNUM(Слияние1[[#This Row],[Дата]],2)</f>
        <v>21</v>
      </c>
      <c r="G89">
        <v>31</v>
      </c>
      <c r="H89">
        <v>6276</v>
      </c>
      <c r="I89">
        <v>5801</v>
      </c>
    </row>
    <row r="90" spans="1:9" x14ac:dyDescent="0.45">
      <c r="A90" s="12">
        <v>43952</v>
      </c>
      <c r="B90" s="13" t="s">
        <v>13</v>
      </c>
      <c r="C90">
        <v>25792.5</v>
      </c>
      <c r="D90">
        <v>2374356</v>
      </c>
      <c r="E90" s="14">
        <f t="shared" si="1"/>
        <v>1357.5</v>
      </c>
      <c r="F90">
        <f>WEEKNUM(Слияние1[[#This Row],[Дата]],2)</f>
        <v>18</v>
      </c>
      <c r="G90">
        <v>19</v>
      </c>
      <c r="H90">
        <v>1497</v>
      </c>
      <c r="I90">
        <v>1291</v>
      </c>
    </row>
    <row r="91" spans="1:9" x14ac:dyDescent="0.45">
      <c r="A91" s="12">
        <v>43976</v>
      </c>
      <c r="B91" s="13" t="s">
        <v>11</v>
      </c>
      <c r="C91">
        <v>76999.5</v>
      </c>
      <c r="D91">
        <v>6645603</v>
      </c>
      <c r="E91" s="14">
        <f t="shared" si="1"/>
        <v>2483.8548387096776</v>
      </c>
      <c r="F91">
        <f>WEEKNUM(Слияние1[[#This Row],[Дата]],2)</f>
        <v>22</v>
      </c>
      <c r="G91">
        <v>31</v>
      </c>
      <c r="H91">
        <v>5210</v>
      </c>
      <c r="I91">
        <v>4841</v>
      </c>
    </row>
    <row r="92" spans="1:9" x14ac:dyDescent="0.45">
      <c r="A92" s="12">
        <v>43952</v>
      </c>
      <c r="B92" s="13" t="s">
        <v>23</v>
      </c>
      <c r="C92">
        <v>13644</v>
      </c>
      <c r="D92">
        <v>1134444</v>
      </c>
      <c r="E92" s="14">
        <f t="shared" si="1"/>
        <v>909.6</v>
      </c>
      <c r="F92">
        <f>WEEKNUM(Слияние1[[#This Row],[Дата]],2)</f>
        <v>18</v>
      </c>
      <c r="G92">
        <v>15</v>
      </c>
      <c r="H92">
        <v>721</v>
      </c>
      <c r="I92">
        <v>625</v>
      </c>
    </row>
    <row r="93" spans="1:9" x14ac:dyDescent="0.45">
      <c r="A93" s="12">
        <v>43952</v>
      </c>
      <c r="B93" s="13" t="s">
        <v>18</v>
      </c>
      <c r="C93">
        <v>17113.5</v>
      </c>
      <c r="D93">
        <v>1465842</v>
      </c>
      <c r="E93" s="14">
        <f t="shared" si="1"/>
        <v>1140.9000000000001</v>
      </c>
      <c r="F93">
        <f>WEEKNUM(Слияние1[[#This Row],[Дата]],2)</f>
        <v>18</v>
      </c>
      <c r="G93">
        <v>15</v>
      </c>
      <c r="H93">
        <v>996</v>
      </c>
      <c r="I93">
        <v>888</v>
      </c>
    </row>
    <row r="94" spans="1:9" x14ac:dyDescent="0.45">
      <c r="A94" s="12">
        <v>43961</v>
      </c>
      <c r="B94" s="13" t="s">
        <v>11</v>
      </c>
      <c r="C94">
        <v>84132</v>
      </c>
      <c r="D94">
        <v>7483194</v>
      </c>
      <c r="E94" s="14">
        <f t="shared" si="1"/>
        <v>2713.9354838709678</v>
      </c>
      <c r="F94">
        <f>WEEKNUM(Слияние1[[#This Row],[Дата]],2)</f>
        <v>19</v>
      </c>
      <c r="G94">
        <v>31</v>
      </c>
      <c r="H94">
        <v>5495</v>
      </c>
      <c r="I94">
        <v>5093</v>
      </c>
    </row>
    <row r="95" spans="1:9" x14ac:dyDescent="0.45">
      <c r="A95" s="12">
        <v>43952</v>
      </c>
      <c r="B95" s="13" t="s">
        <v>19</v>
      </c>
      <c r="C95">
        <v>5446.5</v>
      </c>
      <c r="D95">
        <v>505572</v>
      </c>
      <c r="E95" s="14">
        <f t="shared" si="1"/>
        <v>363.1</v>
      </c>
      <c r="F95">
        <f>WEEKNUM(Слияние1[[#This Row],[Дата]],2)</f>
        <v>18</v>
      </c>
      <c r="G95">
        <v>15</v>
      </c>
      <c r="H95">
        <v>294</v>
      </c>
      <c r="I95">
        <v>225</v>
      </c>
    </row>
    <row r="96" spans="1:9" x14ac:dyDescent="0.45">
      <c r="A96" s="12">
        <v>43959</v>
      </c>
      <c r="B96" s="13" t="s">
        <v>11</v>
      </c>
      <c r="C96">
        <v>69544.5</v>
      </c>
      <c r="D96">
        <v>6293776.5</v>
      </c>
      <c r="E96" s="14">
        <f t="shared" si="1"/>
        <v>2243.3709677419356</v>
      </c>
      <c r="F96">
        <f>WEEKNUM(Слияние1[[#This Row],[Дата]],2)</f>
        <v>19</v>
      </c>
      <c r="G96">
        <v>31</v>
      </c>
      <c r="H96">
        <v>4635</v>
      </c>
      <c r="I96">
        <v>4266</v>
      </c>
    </row>
    <row r="97" spans="1:9" x14ac:dyDescent="0.45">
      <c r="A97" s="12">
        <v>43952</v>
      </c>
      <c r="B97" s="13" t="s">
        <v>15</v>
      </c>
      <c r="C97">
        <v>372504</v>
      </c>
      <c r="D97">
        <v>40077193.5</v>
      </c>
      <c r="E97" s="14">
        <f t="shared" si="1"/>
        <v>2980.0320000000002</v>
      </c>
      <c r="F97">
        <f>WEEKNUM(Слияние1[[#This Row],[Дата]],2)</f>
        <v>18</v>
      </c>
      <c r="G97">
        <v>125</v>
      </c>
      <c r="H97">
        <v>20602</v>
      </c>
      <c r="I97">
        <v>18845</v>
      </c>
    </row>
    <row r="98" spans="1:9" x14ac:dyDescent="0.45">
      <c r="A98" s="12">
        <v>43958</v>
      </c>
      <c r="B98" s="13" t="s">
        <v>11</v>
      </c>
      <c r="C98">
        <v>73204.5</v>
      </c>
      <c r="D98">
        <v>6591883.5</v>
      </c>
      <c r="E98" s="14">
        <f t="shared" si="1"/>
        <v>2361.4354838709678</v>
      </c>
      <c r="F98">
        <f>WEEKNUM(Слияние1[[#This Row],[Дата]],2)</f>
        <v>19</v>
      </c>
      <c r="G98">
        <v>31</v>
      </c>
      <c r="H98">
        <v>4903</v>
      </c>
      <c r="I98">
        <v>4527</v>
      </c>
    </row>
    <row r="99" spans="1:9" x14ac:dyDescent="0.45">
      <c r="A99" s="12">
        <v>43952</v>
      </c>
      <c r="B99" s="13" t="s">
        <v>14</v>
      </c>
      <c r="C99">
        <v>296149.5</v>
      </c>
      <c r="D99">
        <v>31053316.5</v>
      </c>
      <c r="E99" s="14">
        <f t="shared" si="1"/>
        <v>2295.7325581395348</v>
      </c>
      <c r="F99">
        <f>WEEKNUM(Слияние1[[#This Row],[Дата]],2)</f>
        <v>18</v>
      </c>
      <c r="G99">
        <v>129</v>
      </c>
      <c r="H99">
        <v>17002</v>
      </c>
      <c r="I99">
        <v>15570</v>
      </c>
    </row>
    <row r="100" spans="1:9" x14ac:dyDescent="0.45">
      <c r="A100" s="12">
        <v>43975</v>
      </c>
      <c r="B100" s="13" t="s">
        <v>11</v>
      </c>
      <c r="C100">
        <v>76663.5</v>
      </c>
      <c r="D100">
        <v>6451032</v>
      </c>
      <c r="E100" s="14">
        <f t="shared" si="1"/>
        <v>2473.016129032258</v>
      </c>
      <c r="F100">
        <f>WEEKNUM(Слияние1[[#This Row],[Дата]],2)</f>
        <v>21</v>
      </c>
      <c r="G100">
        <v>31</v>
      </c>
      <c r="H100">
        <v>5035</v>
      </c>
      <c r="I100">
        <v>4683</v>
      </c>
    </row>
    <row r="101" spans="1:9" x14ac:dyDescent="0.45">
      <c r="A101" s="12">
        <v>43952</v>
      </c>
      <c r="B101" s="13" t="s">
        <v>12</v>
      </c>
      <c r="C101">
        <v>11619</v>
      </c>
      <c r="D101">
        <v>891139.5</v>
      </c>
      <c r="E101" s="14">
        <f t="shared" si="1"/>
        <v>1161.9000000000001</v>
      </c>
      <c r="F101">
        <f>WEEKNUM(Слияние1[[#This Row],[Дата]],2)</f>
        <v>18</v>
      </c>
      <c r="G101">
        <v>10</v>
      </c>
      <c r="H101">
        <v>554</v>
      </c>
      <c r="I101">
        <v>472</v>
      </c>
    </row>
    <row r="102" spans="1:9" x14ac:dyDescent="0.45">
      <c r="A102" s="12">
        <v>43967</v>
      </c>
      <c r="B102" s="13" t="s">
        <v>12</v>
      </c>
      <c r="C102">
        <v>14265</v>
      </c>
      <c r="D102">
        <v>1130506.5</v>
      </c>
      <c r="E102" s="14">
        <f t="shared" si="1"/>
        <v>1426.5</v>
      </c>
      <c r="F102">
        <f>WEEKNUM(Слияние1[[#This Row],[Дата]],2)</f>
        <v>20</v>
      </c>
      <c r="G102">
        <v>10</v>
      </c>
      <c r="H102">
        <v>760</v>
      </c>
      <c r="I102">
        <v>672</v>
      </c>
    </row>
    <row r="103" spans="1:9" x14ac:dyDescent="0.45">
      <c r="A103" s="12">
        <v>43953</v>
      </c>
      <c r="B103" s="13" t="s">
        <v>16</v>
      </c>
      <c r="C103">
        <v>46216.5</v>
      </c>
      <c r="D103">
        <v>4118251.5</v>
      </c>
      <c r="E103" s="14">
        <f t="shared" si="1"/>
        <v>1283.7916666666667</v>
      </c>
      <c r="F103">
        <f>WEEKNUM(Слияние1[[#This Row],[Дата]],2)</f>
        <v>18</v>
      </c>
      <c r="G103">
        <v>36</v>
      </c>
      <c r="H103">
        <v>3442</v>
      </c>
      <c r="I103">
        <v>3147</v>
      </c>
    </row>
    <row r="104" spans="1:9" x14ac:dyDescent="0.45">
      <c r="A104" s="12">
        <v>43970</v>
      </c>
      <c r="B104" s="13" t="s">
        <v>12</v>
      </c>
      <c r="C104">
        <v>11526</v>
      </c>
      <c r="D104">
        <v>938764.5</v>
      </c>
      <c r="E104" s="14">
        <f t="shared" si="1"/>
        <v>1152.5999999999999</v>
      </c>
      <c r="F104">
        <f>WEEKNUM(Слияние1[[#This Row],[Дата]],2)</f>
        <v>21</v>
      </c>
      <c r="G104">
        <v>10</v>
      </c>
      <c r="H104">
        <v>649</v>
      </c>
      <c r="I104">
        <v>568</v>
      </c>
    </row>
    <row r="105" spans="1:9" x14ac:dyDescent="0.45">
      <c r="A105" s="12">
        <v>43968</v>
      </c>
      <c r="B105" s="13" t="s">
        <v>12</v>
      </c>
      <c r="C105">
        <v>10402.5</v>
      </c>
      <c r="D105">
        <v>843727.5</v>
      </c>
      <c r="E105" s="14">
        <f t="shared" si="1"/>
        <v>1040.25</v>
      </c>
      <c r="F105">
        <f>WEEKNUM(Слияние1[[#This Row],[Дата]],2)</f>
        <v>20</v>
      </c>
      <c r="G105">
        <v>10</v>
      </c>
      <c r="H105">
        <v>591</v>
      </c>
      <c r="I105">
        <v>513</v>
      </c>
    </row>
    <row r="106" spans="1:9" x14ac:dyDescent="0.45">
      <c r="A106" s="12">
        <v>43953</v>
      </c>
      <c r="B106" s="13" t="s">
        <v>17</v>
      </c>
      <c r="C106">
        <v>26428.5</v>
      </c>
      <c r="D106">
        <v>2470465.5</v>
      </c>
      <c r="E106" s="14">
        <f t="shared" si="1"/>
        <v>1321.425</v>
      </c>
      <c r="F106">
        <f>WEEKNUM(Слияние1[[#This Row],[Дата]],2)</f>
        <v>18</v>
      </c>
      <c r="G106">
        <v>20</v>
      </c>
      <c r="H106">
        <v>1613</v>
      </c>
      <c r="I106">
        <v>1457</v>
      </c>
    </row>
    <row r="107" spans="1:9" x14ac:dyDescent="0.45">
      <c r="A107" s="12">
        <v>43960</v>
      </c>
      <c r="B107" s="13" t="s">
        <v>12</v>
      </c>
      <c r="C107">
        <v>13216.5</v>
      </c>
      <c r="D107">
        <v>1046400</v>
      </c>
      <c r="E107" s="14">
        <f t="shared" si="1"/>
        <v>1321.65</v>
      </c>
      <c r="F107">
        <f>WEEKNUM(Слияние1[[#This Row],[Дата]],2)</f>
        <v>19</v>
      </c>
      <c r="G107">
        <v>10</v>
      </c>
      <c r="H107">
        <v>644</v>
      </c>
      <c r="I107">
        <v>559</v>
      </c>
    </row>
    <row r="108" spans="1:9" x14ac:dyDescent="0.45">
      <c r="A108" s="12">
        <v>43955</v>
      </c>
      <c r="B108" s="13" t="s">
        <v>12</v>
      </c>
      <c r="C108">
        <v>9130.5</v>
      </c>
      <c r="D108">
        <v>728890.5</v>
      </c>
      <c r="E108" s="14">
        <f t="shared" si="1"/>
        <v>913.05</v>
      </c>
      <c r="F108">
        <f>WEEKNUM(Слияние1[[#This Row],[Дата]],2)</f>
        <v>19</v>
      </c>
      <c r="G108">
        <v>10</v>
      </c>
      <c r="H108">
        <v>462</v>
      </c>
      <c r="I108">
        <v>396</v>
      </c>
    </row>
    <row r="109" spans="1:9" x14ac:dyDescent="0.45">
      <c r="A109" s="12">
        <v>43953</v>
      </c>
      <c r="B109" s="13" t="s">
        <v>20</v>
      </c>
      <c r="C109">
        <v>18427.5</v>
      </c>
      <c r="D109">
        <v>1682851.5</v>
      </c>
      <c r="E109" s="14">
        <f t="shared" si="1"/>
        <v>969.86842105263156</v>
      </c>
      <c r="F109">
        <f>WEEKNUM(Слияние1[[#This Row],[Дата]],2)</f>
        <v>18</v>
      </c>
      <c r="G109">
        <v>19</v>
      </c>
      <c r="H109">
        <v>1206</v>
      </c>
      <c r="I109">
        <v>1080</v>
      </c>
    </row>
    <row r="110" spans="1:9" x14ac:dyDescent="0.45">
      <c r="A110" s="12">
        <v>43953</v>
      </c>
      <c r="B110" s="13" t="s">
        <v>22</v>
      </c>
      <c r="C110">
        <v>176397</v>
      </c>
      <c r="D110">
        <v>18625921.5</v>
      </c>
      <c r="E110" s="14">
        <f t="shared" si="1"/>
        <v>3266.6111111111113</v>
      </c>
      <c r="F110">
        <f>WEEKNUM(Слияние1[[#This Row],[Дата]],2)</f>
        <v>18</v>
      </c>
      <c r="G110">
        <v>54</v>
      </c>
      <c r="H110">
        <v>11622</v>
      </c>
      <c r="I110">
        <v>10754</v>
      </c>
    </row>
    <row r="111" spans="1:9" x14ac:dyDescent="0.45">
      <c r="A111" s="12">
        <v>43953</v>
      </c>
      <c r="B111" s="13" t="s">
        <v>12</v>
      </c>
      <c r="C111">
        <v>7866</v>
      </c>
      <c r="D111">
        <v>617881.5</v>
      </c>
      <c r="E111" s="14">
        <f t="shared" si="1"/>
        <v>786.6</v>
      </c>
      <c r="F111">
        <f>WEEKNUM(Слияние1[[#This Row],[Дата]],2)</f>
        <v>18</v>
      </c>
      <c r="G111">
        <v>10</v>
      </c>
      <c r="H111">
        <v>416</v>
      </c>
      <c r="I111">
        <v>341</v>
      </c>
    </row>
    <row r="112" spans="1:9" x14ac:dyDescent="0.45">
      <c r="A112" s="12">
        <v>43953</v>
      </c>
      <c r="B112" s="13" t="s">
        <v>21</v>
      </c>
      <c r="C112">
        <v>185979</v>
      </c>
      <c r="D112">
        <v>19625364</v>
      </c>
      <c r="E112" s="14">
        <f t="shared" si="1"/>
        <v>3152.1864406779659</v>
      </c>
      <c r="F112">
        <f>WEEKNUM(Слияние1[[#This Row],[Дата]],2)</f>
        <v>18</v>
      </c>
      <c r="G112">
        <v>59</v>
      </c>
      <c r="H112">
        <v>12429</v>
      </c>
      <c r="I112">
        <v>11477</v>
      </c>
    </row>
    <row r="113" spans="1:9" x14ac:dyDescent="0.45">
      <c r="A113" s="12">
        <v>43977</v>
      </c>
      <c r="B113" s="13" t="s">
        <v>12</v>
      </c>
      <c r="C113">
        <v>11835</v>
      </c>
      <c r="D113">
        <v>983109</v>
      </c>
      <c r="E113" s="14">
        <f t="shared" si="1"/>
        <v>1183.5</v>
      </c>
      <c r="F113">
        <f>WEEKNUM(Слияние1[[#This Row],[Дата]],2)</f>
        <v>22</v>
      </c>
      <c r="G113">
        <v>10</v>
      </c>
      <c r="H113">
        <v>692</v>
      </c>
      <c r="I113">
        <v>601</v>
      </c>
    </row>
    <row r="114" spans="1:9" x14ac:dyDescent="0.45">
      <c r="A114" s="12">
        <v>43953</v>
      </c>
      <c r="B114" s="13" t="s">
        <v>13</v>
      </c>
      <c r="C114">
        <v>19461</v>
      </c>
      <c r="D114">
        <v>1799230.5</v>
      </c>
      <c r="E114" s="14">
        <f t="shared" si="1"/>
        <v>1024.2631578947369</v>
      </c>
      <c r="F114">
        <f>WEEKNUM(Слияние1[[#This Row],[Дата]],2)</f>
        <v>18</v>
      </c>
      <c r="G114">
        <v>19</v>
      </c>
      <c r="H114">
        <v>1217</v>
      </c>
      <c r="I114">
        <v>1048</v>
      </c>
    </row>
    <row r="115" spans="1:9" x14ac:dyDescent="0.45">
      <c r="A115" s="12">
        <v>43953</v>
      </c>
      <c r="B115" s="13" t="s">
        <v>23</v>
      </c>
      <c r="C115">
        <v>10018.5</v>
      </c>
      <c r="D115">
        <v>816859.5</v>
      </c>
      <c r="E115" s="14">
        <f t="shared" si="1"/>
        <v>667.9</v>
      </c>
      <c r="F115">
        <f>WEEKNUM(Слияние1[[#This Row],[Дата]],2)</f>
        <v>18</v>
      </c>
      <c r="G115">
        <v>15</v>
      </c>
      <c r="H115">
        <v>567</v>
      </c>
      <c r="I115">
        <v>493</v>
      </c>
    </row>
    <row r="116" spans="1:9" x14ac:dyDescent="0.45">
      <c r="A116" s="12">
        <v>43963</v>
      </c>
      <c r="B116" s="13" t="s">
        <v>12</v>
      </c>
      <c r="C116">
        <v>9328.5</v>
      </c>
      <c r="D116">
        <v>732964.5</v>
      </c>
      <c r="E116" s="14">
        <f t="shared" si="1"/>
        <v>932.85</v>
      </c>
      <c r="F116">
        <f>WEEKNUM(Слияние1[[#This Row],[Дата]],2)</f>
        <v>20</v>
      </c>
      <c r="G116">
        <v>10</v>
      </c>
      <c r="H116">
        <v>526</v>
      </c>
      <c r="I116">
        <v>448</v>
      </c>
    </row>
    <row r="117" spans="1:9" x14ac:dyDescent="0.45">
      <c r="A117" s="12">
        <v>43953</v>
      </c>
      <c r="B117" s="13" t="s">
        <v>18</v>
      </c>
      <c r="C117">
        <v>12313.5</v>
      </c>
      <c r="D117">
        <v>1053220.5</v>
      </c>
      <c r="E117" s="14">
        <f t="shared" si="1"/>
        <v>820.9</v>
      </c>
      <c r="F117">
        <f>WEEKNUM(Слияние1[[#This Row],[Дата]],2)</f>
        <v>18</v>
      </c>
      <c r="G117">
        <v>15</v>
      </c>
      <c r="H117">
        <v>751</v>
      </c>
      <c r="I117">
        <v>651</v>
      </c>
    </row>
    <row r="118" spans="1:9" x14ac:dyDescent="0.45">
      <c r="A118" s="12">
        <v>43972</v>
      </c>
      <c r="B118" s="13" t="s">
        <v>12</v>
      </c>
      <c r="C118">
        <v>11250</v>
      </c>
      <c r="D118">
        <v>935523</v>
      </c>
      <c r="E118" s="14">
        <f t="shared" si="1"/>
        <v>1125</v>
      </c>
      <c r="F118">
        <f>WEEKNUM(Слияние1[[#This Row],[Дата]],2)</f>
        <v>21</v>
      </c>
      <c r="G118">
        <v>10</v>
      </c>
      <c r="H118">
        <v>677</v>
      </c>
      <c r="I118">
        <v>591</v>
      </c>
    </row>
    <row r="119" spans="1:9" x14ac:dyDescent="0.45">
      <c r="A119" s="12">
        <v>43953</v>
      </c>
      <c r="B119" s="13" t="s">
        <v>19</v>
      </c>
      <c r="C119">
        <v>4624.5</v>
      </c>
      <c r="D119">
        <v>433243.5</v>
      </c>
      <c r="E119" s="14">
        <f t="shared" si="1"/>
        <v>308.3</v>
      </c>
      <c r="F119">
        <f>WEEKNUM(Слияние1[[#This Row],[Дата]],2)</f>
        <v>18</v>
      </c>
      <c r="G119">
        <v>15</v>
      </c>
      <c r="H119">
        <v>274</v>
      </c>
      <c r="I119">
        <v>203</v>
      </c>
    </row>
    <row r="120" spans="1:9" x14ac:dyDescent="0.45">
      <c r="A120" s="12">
        <v>43971</v>
      </c>
      <c r="B120" s="13" t="s">
        <v>12</v>
      </c>
      <c r="C120">
        <v>13063.5</v>
      </c>
      <c r="D120">
        <v>1037247</v>
      </c>
      <c r="E120" s="14">
        <f t="shared" si="1"/>
        <v>1306.3499999999999</v>
      </c>
      <c r="F120">
        <f>WEEKNUM(Слияние1[[#This Row],[Дата]],2)</f>
        <v>21</v>
      </c>
      <c r="G120">
        <v>10</v>
      </c>
      <c r="H120">
        <v>745</v>
      </c>
      <c r="I120">
        <v>654</v>
      </c>
    </row>
    <row r="121" spans="1:9" x14ac:dyDescent="0.45">
      <c r="A121" s="12">
        <v>43953</v>
      </c>
      <c r="B121" s="13" t="s">
        <v>15</v>
      </c>
      <c r="C121">
        <v>296580</v>
      </c>
      <c r="D121">
        <v>31843737</v>
      </c>
      <c r="E121" s="14">
        <f t="shared" si="1"/>
        <v>2372.64</v>
      </c>
      <c r="F121">
        <f>WEEKNUM(Слияние1[[#This Row],[Дата]],2)</f>
        <v>18</v>
      </c>
      <c r="G121">
        <v>125</v>
      </c>
      <c r="H121">
        <v>16932</v>
      </c>
      <c r="I121">
        <v>15601</v>
      </c>
    </row>
    <row r="122" spans="1:9" x14ac:dyDescent="0.45">
      <c r="A122" s="12">
        <v>43956</v>
      </c>
      <c r="B122" s="13" t="s">
        <v>12</v>
      </c>
      <c r="C122">
        <v>10147.5</v>
      </c>
      <c r="D122">
        <v>793320</v>
      </c>
      <c r="E122" s="14">
        <f t="shared" si="1"/>
        <v>1014.75</v>
      </c>
      <c r="F122">
        <f>WEEKNUM(Слияние1[[#This Row],[Дата]],2)</f>
        <v>19</v>
      </c>
      <c r="G122">
        <v>10</v>
      </c>
      <c r="H122">
        <v>511</v>
      </c>
      <c r="I122">
        <v>437</v>
      </c>
    </row>
    <row r="123" spans="1:9" x14ac:dyDescent="0.45">
      <c r="A123" s="12">
        <v>43953</v>
      </c>
      <c r="B123" s="13" t="s">
        <v>14</v>
      </c>
      <c r="C123">
        <v>232903.5</v>
      </c>
      <c r="D123">
        <v>24342016.5</v>
      </c>
      <c r="E123" s="14">
        <f t="shared" si="1"/>
        <v>1805.453488372093</v>
      </c>
      <c r="F123">
        <f>WEEKNUM(Слияние1[[#This Row],[Дата]],2)</f>
        <v>18</v>
      </c>
      <c r="G123">
        <v>129</v>
      </c>
      <c r="H123">
        <v>14009</v>
      </c>
      <c r="I123">
        <v>12920</v>
      </c>
    </row>
    <row r="124" spans="1:9" x14ac:dyDescent="0.45">
      <c r="A124" s="12">
        <v>43964</v>
      </c>
      <c r="B124" s="13" t="s">
        <v>12</v>
      </c>
      <c r="C124">
        <v>11202</v>
      </c>
      <c r="D124">
        <v>865714.5</v>
      </c>
      <c r="E124" s="14">
        <f t="shared" si="1"/>
        <v>1120.2</v>
      </c>
      <c r="F124">
        <f>WEEKNUM(Слияние1[[#This Row],[Дата]],2)</f>
        <v>20</v>
      </c>
      <c r="G124">
        <v>10</v>
      </c>
      <c r="H124">
        <v>612</v>
      </c>
      <c r="I124">
        <v>530</v>
      </c>
    </row>
    <row r="125" spans="1:9" x14ac:dyDescent="0.45">
      <c r="A125" s="12">
        <v>43954</v>
      </c>
      <c r="B125" s="13" t="s">
        <v>16</v>
      </c>
      <c r="C125">
        <v>70581</v>
      </c>
      <c r="D125">
        <v>6221320.5</v>
      </c>
      <c r="E125" s="14">
        <f t="shared" si="1"/>
        <v>1960.5833333333333</v>
      </c>
      <c r="F125">
        <f>WEEKNUM(Слияние1[[#This Row],[Дата]],2)</f>
        <v>18</v>
      </c>
      <c r="G125">
        <v>36</v>
      </c>
      <c r="H125">
        <v>4751</v>
      </c>
      <c r="I125">
        <v>4370</v>
      </c>
    </row>
    <row r="126" spans="1:9" x14ac:dyDescent="0.45">
      <c r="A126" s="12">
        <v>43982</v>
      </c>
      <c r="B126" s="13" t="s">
        <v>11</v>
      </c>
      <c r="C126">
        <v>89149.5</v>
      </c>
      <c r="D126">
        <v>7512646.5</v>
      </c>
      <c r="E126" s="14">
        <f t="shared" si="1"/>
        <v>2875.7903225806454</v>
      </c>
      <c r="F126">
        <f>WEEKNUM(Слияние1[[#This Row],[Дата]],2)</f>
        <v>22</v>
      </c>
      <c r="G126">
        <v>31</v>
      </c>
      <c r="H126">
        <v>5760</v>
      </c>
      <c r="I126">
        <v>5367</v>
      </c>
    </row>
    <row r="127" spans="1:9" x14ac:dyDescent="0.45">
      <c r="A127" s="12">
        <v>43954</v>
      </c>
      <c r="B127" s="13" t="s">
        <v>12</v>
      </c>
      <c r="C127">
        <v>8185.5</v>
      </c>
      <c r="D127">
        <v>637881</v>
      </c>
      <c r="E127" s="14">
        <f t="shared" si="1"/>
        <v>818.55</v>
      </c>
      <c r="F127">
        <f>WEEKNUM(Слияние1[[#This Row],[Дата]],2)</f>
        <v>18</v>
      </c>
      <c r="G127">
        <v>10</v>
      </c>
      <c r="H127">
        <v>402</v>
      </c>
      <c r="I127">
        <v>333</v>
      </c>
    </row>
    <row r="128" spans="1:9" x14ac:dyDescent="0.45">
      <c r="A128" s="12">
        <v>43954</v>
      </c>
      <c r="B128" s="13" t="s">
        <v>17</v>
      </c>
      <c r="C128">
        <v>29935.5</v>
      </c>
      <c r="D128">
        <v>2720002.5</v>
      </c>
      <c r="E128" s="14">
        <f t="shared" si="1"/>
        <v>1496.7750000000001</v>
      </c>
      <c r="F128">
        <f>WEEKNUM(Слияние1[[#This Row],[Дата]],2)</f>
        <v>18</v>
      </c>
      <c r="G128">
        <v>20</v>
      </c>
      <c r="H128">
        <v>1716</v>
      </c>
      <c r="I128">
        <v>1561</v>
      </c>
    </row>
    <row r="129" spans="1:9" x14ac:dyDescent="0.45">
      <c r="A129" s="12">
        <v>43981</v>
      </c>
      <c r="B129" s="13" t="s">
        <v>11</v>
      </c>
      <c r="C129">
        <v>108123</v>
      </c>
      <c r="D129">
        <v>9164707.5</v>
      </c>
      <c r="E129" s="14">
        <f t="shared" si="1"/>
        <v>3487.8387096774195</v>
      </c>
      <c r="F129">
        <f>WEEKNUM(Слияние1[[#This Row],[Дата]],2)</f>
        <v>22</v>
      </c>
      <c r="G129">
        <v>31</v>
      </c>
      <c r="H129">
        <v>6735</v>
      </c>
      <c r="I129">
        <v>6264</v>
      </c>
    </row>
    <row r="130" spans="1:9" x14ac:dyDescent="0.45">
      <c r="A130" s="12">
        <v>43957</v>
      </c>
      <c r="B130" s="13" t="s">
        <v>12</v>
      </c>
      <c r="C130">
        <v>9210</v>
      </c>
      <c r="D130">
        <v>696832.5</v>
      </c>
      <c r="E130" s="14">
        <f t="shared" si="1"/>
        <v>921</v>
      </c>
      <c r="F130">
        <f>WEEKNUM(Слияние1[[#This Row],[Дата]],2)</f>
        <v>19</v>
      </c>
      <c r="G130">
        <v>10</v>
      </c>
      <c r="H130">
        <v>465</v>
      </c>
      <c r="I130">
        <v>390</v>
      </c>
    </row>
    <row r="131" spans="1:9" x14ac:dyDescent="0.45">
      <c r="A131" s="12">
        <v>43954</v>
      </c>
      <c r="B131" s="13" t="s">
        <v>20</v>
      </c>
      <c r="C131">
        <v>21343.5</v>
      </c>
      <c r="D131">
        <v>1906557</v>
      </c>
      <c r="E131" s="14">
        <f t="shared" ref="E131:E194" si="2">C131/G131</f>
        <v>1123.3421052631579</v>
      </c>
      <c r="F131">
        <f>WEEKNUM(Слияние1[[#This Row],[Дата]],2)</f>
        <v>18</v>
      </c>
      <c r="G131">
        <v>19</v>
      </c>
      <c r="H131">
        <v>1314</v>
      </c>
      <c r="I131">
        <v>1192</v>
      </c>
    </row>
    <row r="132" spans="1:9" x14ac:dyDescent="0.45">
      <c r="A132" s="12">
        <v>43974</v>
      </c>
      <c r="B132" s="13" t="s">
        <v>12</v>
      </c>
      <c r="C132">
        <v>14773.5</v>
      </c>
      <c r="D132">
        <v>1241383.5</v>
      </c>
      <c r="E132" s="14">
        <f t="shared" si="2"/>
        <v>1477.35</v>
      </c>
      <c r="F132">
        <f>WEEKNUM(Слияние1[[#This Row],[Дата]],2)</f>
        <v>21</v>
      </c>
      <c r="G132">
        <v>10</v>
      </c>
      <c r="H132">
        <v>828</v>
      </c>
      <c r="I132">
        <v>734</v>
      </c>
    </row>
    <row r="133" spans="1:9" x14ac:dyDescent="0.45">
      <c r="A133" s="12">
        <v>43954</v>
      </c>
      <c r="B133" s="13" t="s">
        <v>22</v>
      </c>
      <c r="C133">
        <v>248148</v>
      </c>
      <c r="D133">
        <v>25519072.5</v>
      </c>
      <c r="E133" s="14">
        <f t="shared" si="2"/>
        <v>4595.333333333333</v>
      </c>
      <c r="F133">
        <f>WEEKNUM(Слияние1[[#This Row],[Дата]],2)</f>
        <v>18</v>
      </c>
      <c r="G133">
        <v>54</v>
      </c>
      <c r="H133">
        <v>14823</v>
      </c>
      <c r="I133">
        <v>13751</v>
      </c>
    </row>
    <row r="134" spans="1:9" x14ac:dyDescent="0.45">
      <c r="A134" s="12">
        <v>43979</v>
      </c>
      <c r="B134" s="13" t="s">
        <v>11</v>
      </c>
      <c r="C134">
        <v>78141</v>
      </c>
      <c r="D134">
        <v>6641569.5</v>
      </c>
      <c r="E134" s="14">
        <f t="shared" si="2"/>
        <v>2520.6774193548385</v>
      </c>
      <c r="F134">
        <f>WEEKNUM(Слияние1[[#This Row],[Дата]],2)</f>
        <v>22</v>
      </c>
      <c r="G134">
        <v>31</v>
      </c>
      <c r="H134">
        <v>5355</v>
      </c>
      <c r="I134">
        <v>4969</v>
      </c>
    </row>
    <row r="135" spans="1:9" x14ac:dyDescent="0.45">
      <c r="A135" s="12">
        <v>43954</v>
      </c>
      <c r="B135" s="13" t="s">
        <v>21</v>
      </c>
      <c r="C135">
        <v>257215.5</v>
      </c>
      <c r="D135">
        <v>26492278.5</v>
      </c>
      <c r="E135" s="14">
        <f t="shared" si="2"/>
        <v>4359.5847457627115</v>
      </c>
      <c r="F135">
        <f>WEEKNUM(Слияние1[[#This Row],[Дата]],2)</f>
        <v>18</v>
      </c>
      <c r="G135">
        <v>59</v>
      </c>
      <c r="H135">
        <v>15277</v>
      </c>
      <c r="I135">
        <v>14163</v>
      </c>
    </row>
    <row r="136" spans="1:9" x14ac:dyDescent="0.45">
      <c r="A136" s="12">
        <v>43976</v>
      </c>
      <c r="B136" s="13" t="s">
        <v>12</v>
      </c>
      <c r="C136">
        <v>12280.5</v>
      </c>
      <c r="D136">
        <v>1030440</v>
      </c>
      <c r="E136" s="14">
        <f t="shared" si="2"/>
        <v>1228.05</v>
      </c>
      <c r="F136">
        <f>WEEKNUM(Слияние1[[#This Row],[Дата]],2)</f>
        <v>22</v>
      </c>
      <c r="G136">
        <v>10</v>
      </c>
      <c r="H136">
        <v>739</v>
      </c>
      <c r="I136">
        <v>642</v>
      </c>
    </row>
    <row r="137" spans="1:9" x14ac:dyDescent="0.45">
      <c r="A137" s="12">
        <v>43954</v>
      </c>
      <c r="B137" s="13" t="s">
        <v>13</v>
      </c>
      <c r="C137">
        <v>23539.5</v>
      </c>
      <c r="D137">
        <v>2170309.5</v>
      </c>
      <c r="E137" s="14">
        <f t="shared" si="2"/>
        <v>1238.921052631579</v>
      </c>
      <c r="F137">
        <f>WEEKNUM(Слияние1[[#This Row],[Дата]],2)</f>
        <v>18</v>
      </c>
      <c r="G137">
        <v>19</v>
      </c>
      <c r="H137">
        <v>1402</v>
      </c>
      <c r="I137">
        <v>1234</v>
      </c>
    </row>
    <row r="138" spans="1:9" x14ac:dyDescent="0.45">
      <c r="A138" s="12">
        <v>43954</v>
      </c>
      <c r="B138" s="13" t="s">
        <v>23</v>
      </c>
      <c r="C138">
        <v>10032</v>
      </c>
      <c r="D138">
        <v>816150</v>
      </c>
      <c r="E138" s="14">
        <f t="shared" si="2"/>
        <v>668.8</v>
      </c>
      <c r="F138">
        <f>WEEKNUM(Слияние1[[#This Row],[Дата]],2)</f>
        <v>18</v>
      </c>
      <c r="G138">
        <v>15</v>
      </c>
      <c r="H138">
        <v>585</v>
      </c>
      <c r="I138">
        <v>502</v>
      </c>
    </row>
    <row r="139" spans="1:9" x14ac:dyDescent="0.45">
      <c r="A139" s="12">
        <v>43961</v>
      </c>
      <c r="B139" s="13" t="s">
        <v>12</v>
      </c>
      <c r="C139">
        <v>12918</v>
      </c>
      <c r="D139">
        <v>1004788.5</v>
      </c>
      <c r="E139" s="14">
        <f t="shared" si="2"/>
        <v>1291.8</v>
      </c>
      <c r="F139">
        <f>WEEKNUM(Слияние1[[#This Row],[Дата]],2)</f>
        <v>19</v>
      </c>
      <c r="G139">
        <v>10</v>
      </c>
      <c r="H139">
        <v>642</v>
      </c>
      <c r="I139">
        <v>556</v>
      </c>
    </row>
    <row r="140" spans="1:9" x14ac:dyDescent="0.45">
      <c r="A140" s="12">
        <v>43954</v>
      </c>
      <c r="B140" s="13" t="s">
        <v>18</v>
      </c>
      <c r="C140">
        <v>12924</v>
      </c>
      <c r="D140">
        <v>1120009.5</v>
      </c>
      <c r="E140" s="14">
        <f t="shared" si="2"/>
        <v>861.6</v>
      </c>
      <c r="F140">
        <f>WEEKNUM(Слияние1[[#This Row],[Дата]],2)</f>
        <v>18</v>
      </c>
      <c r="G140">
        <v>15</v>
      </c>
      <c r="H140">
        <v>784</v>
      </c>
      <c r="I140">
        <v>696</v>
      </c>
    </row>
    <row r="141" spans="1:9" x14ac:dyDescent="0.45">
      <c r="A141" s="12">
        <v>43959</v>
      </c>
      <c r="B141" s="13" t="s">
        <v>12</v>
      </c>
      <c r="C141">
        <v>12528</v>
      </c>
      <c r="D141">
        <v>959703</v>
      </c>
      <c r="E141" s="14">
        <f t="shared" si="2"/>
        <v>1252.8</v>
      </c>
      <c r="F141">
        <f>WEEKNUM(Слияние1[[#This Row],[Дата]],2)</f>
        <v>19</v>
      </c>
      <c r="G141">
        <v>10</v>
      </c>
      <c r="H141">
        <v>638</v>
      </c>
      <c r="I141">
        <v>547</v>
      </c>
    </row>
    <row r="142" spans="1:9" x14ac:dyDescent="0.45">
      <c r="A142" s="12">
        <v>43954</v>
      </c>
      <c r="B142" s="13" t="s">
        <v>19</v>
      </c>
      <c r="C142">
        <v>8127</v>
      </c>
      <c r="D142">
        <v>665302.5</v>
      </c>
      <c r="E142" s="14">
        <f t="shared" si="2"/>
        <v>541.79999999999995</v>
      </c>
      <c r="F142">
        <f>WEEKNUM(Слияние1[[#This Row],[Дата]],2)</f>
        <v>18</v>
      </c>
      <c r="G142">
        <v>15</v>
      </c>
      <c r="H142">
        <v>455</v>
      </c>
      <c r="I142">
        <v>384</v>
      </c>
    </row>
    <row r="143" spans="1:9" x14ac:dyDescent="0.45">
      <c r="A143" s="12">
        <v>43958</v>
      </c>
      <c r="B143" s="13" t="s">
        <v>12</v>
      </c>
      <c r="C143">
        <v>11029.5</v>
      </c>
      <c r="D143">
        <v>863754</v>
      </c>
      <c r="E143" s="14">
        <f t="shared" si="2"/>
        <v>1102.95</v>
      </c>
      <c r="F143">
        <f>WEEKNUM(Слияние1[[#This Row],[Дата]],2)</f>
        <v>19</v>
      </c>
      <c r="G143">
        <v>10</v>
      </c>
      <c r="H143">
        <v>563</v>
      </c>
      <c r="I143">
        <v>486</v>
      </c>
    </row>
    <row r="144" spans="1:9" x14ac:dyDescent="0.45">
      <c r="A144" s="12">
        <v>43954</v>
      </c>
      <c r="B144" s="13" t="s">
        <v>15</v>
      </c>
      <c r="C144">
        <v>342666</v>
      </c>
      <c r="D144">
        <v>36631999.5</v>
      </c>
      <c r="E144" s="14">
        <f t="shared" si="2"/>
        <v>2741.328</v>
      </c>
      <c r="F144">
        <f>WEEKNUM(Слияние1[[#This Row],[Дата]],2)</f>
        <v>18</v>
      </c>
      <c r="G144">
        <v>125</v>
      </c>
      <c r="H144">
        <v>18861</v>
      </c>
      <c r="I144">
        <v>17420</v>
      </c>
    </row>
    <row r="145" spans="1:9" x14ac:dyDescent="0.45">
      <c r="A145" s="12">
        <v>43975</v>
      </c>
      <c r="B145" s="13" t="s">
        <v>12</v>
      </c>
      <c r="C145">
        <v>9994.5</v>
      </c>
      <c r="D145">
        <v>828984</v>
      </c>
      <c r="E145" s="14">
        <f t="shared" si="2"/>
        <v>999.45</v>
      </c>
      <c r="F145">
        <f>WEEKNUM(Слияние1[[#This Row],[Дата]],2)</f>
        <v>21</v>
      </c>
      <c r="G145">
        <v>10</v>
      </c>
      <c r="H145">
        <v>639</v>
      </c>
      <c r="I145">
        <v>557</v>
      </c>
    </row>
    <row r="146" spans="1:9" x14ac:dyDescent="0.45">
      <c r="A146" s="12">
        <v>43954</v>
      </c>
      <c r="B146" s="13" t="s">
        <v>14</v>
      </c>
      <c r="C146">
        <v>274083</v>
      </c>
      <c r="D146">
        <v>28427001</v>
      </c>
      <c r="E146" s="14">
        <f t="shared" si="2"/>
        <v>2124.6744186046512</v>
      </c>
      <c r="F146">
        <f>WEEKNUM(Слияние1[[#This Row],[Дата]],2)</f>
        <v>18</v>
      </c>
      <c r="G146">
        <v>129</v>
      </c>
      <c r="H146">
        <v>15778</v>
      </c>
      <c r="I146">
        <v>14624</v>
      </c>
    </row>
    <row r="147" spans="1:9" x14ac:dyDescent="0.45">
      <c r="A147" s="12">
        <v>43982</v>
      </c>
      <c r="B147" s="13" t="s">
        <v>12</v>
      </c>
      <c r="C147">
        <v>12724.5</v>
      </c>
      <c r="D147">
        <v>1045515</v>
      </c>
      <c r="E147" s="14">
        <f t="shared" si="2"/>
        <v>1272.45</v>
      </c>
      <c r="F147">
        <f>WEEKNUM(Слияние1[[#This Row],[Дата]],2)</f>
        <v>22</v>
      </c>
      <c r="G147">
        <v>10</v>
      </c>
      <c r="H147">
        <v>749</v>
      </c>
      <c r="I147">
        <v>655</v>
      </c>
    </row>
    <row r="148" spans="1:9" x14ac:dyDescent="0.45">
      <c r="A148" s="12">
        <v>43981</v>
      </c>
      <c r="B148" s="13" t="s">
        <v>12</v>
      </c>
      <c r="C148">
        <v>14728.5</v>
      </c>
      <c r="D148">
        <v>1260483</v>
      </c>
      <c r="E148" s="14">
        <f t="shared" si="2"/>
        <v>1472.85</v>
      </c>
      <c r="F148">
        <f>WEEKNUM(Слияние1[[#This Row],[Дата]],2)</f>
        <v>22</v>
      </c>
      <c r="G148">
        <v>10</v>
      </c>
      <c r="H148">
        <v>865</v>
      </c>
      <c r="I148">
        <v>763</v>
      </c>
    </row>
    <row r="149" spans="1:9" x14ac:dyDescent="0.45">
      <c r="A149" s="12">
        <v>43955</v>
      </c>
      <c r="B149" s="13" t="s">
        <v>16</v>
      </c>
      <c r="C149">
        <v>64108.5</v>
      </c>
      <c r="D149">
        <v>5561452.5</v>
      </c>
      <c r="E149" s="14">
        <f t="shared" si="2"/>
        <v>1780.7916666666667</v>
      </c>
      <c r="F149">
        <f>WEEKNUM(Слияние1[[#This Row],[Дата]],2)</f>
        <v>19</v>
      </c>
      <c r="G149">
        <v>36</v>
      </c>
      <c r="H149">
        <v>4508</v>
      </c>
      <c r="I149">
        <v>4149</v>
      </c>
    </row>
    <row r="150" spans="1:9" x14ac:dyDescent="0.45">
      <c r="A150" s="12">
        <v>43979</v>
      </c>
      <c r="B150" s="13" t="s">
        <v>12</v>
      </c>
      <c r="C150">
        <v>13038</v>
      </c>
      <c r="D150">
        <v>1114552.5</v>
      </c>
      <c r="E150" s="14">
        <f t="shared" si="2"/>
        <v>1303.8</v>
      </c>
      <c r="F150">
        <f>WEEKNUM(Слияние1[[#This Row],[Дата]],2)</f>
        <v>22</v>
      </c>
      <c r="G150">
        <v>10</v>
      </c>
      <c r="H150">
        <v>791</v>
      </c>
      <c r="I150">
        <v>697</v>
      </c>
    </row>
    <row r="151" spans="1:9" x14ac:dyDescent="0.45">
      <c r="A151" s="12">
        <v>43967</v>
      </c>
      <c r="B151" s="13" t="s">
        <v>13</v>
      </c>
      <c r="C151">
        <v>35482.5</v>
      </c>
      <c r="D151">
        <v>3222517.5</v>
      </c>
      <c r="E151" s="14">
        <f t="shared" si="2"/>
        <v>1867.5</v>
      </c>
      <c r="F151">
        <f>WEEKNUM(Слияние1[[#This Row],[Дата]],2)</f>
        <v>20</v>
      </c>
      <c r="G151">
        <v>19</v>
      </c>
      <c r="H151">
        <v>2080</v>
      </c>
      <c r="I151">
        <v>1844</v>
      </c>
    </row>
    <row r="152" spans="1:9" x14ac:dyDescent="0.45">
      <c r="A152" s="12">
        <v>43955</v>
      </c>
      <c r="B152" s="13" t="s">
        <v>17</v>
      </c>
      <c r="C152">
        <v>30780</v>
      </c>
      <c r="D152">
        <v>2817853.5</v>
      </c>
      <c r="E152" s="14">
        <f t="shared" si="2"/>
        <v>1539</v>
      </c>
      <c r="F152">
        <f>WEEKNUM(Слияние1[[#This Row],[Дата]],2)</f>
        <v>19</v>
      </c>
      <c r="G152">
        <v>20</v>
      </c>
      <c r="H152">
        <v>1804</v>
      </c>
      <c r="I152">
        <v>1638</v>
      </c>
    </row>
    <row r="153" spans="1:9" x14ac:dyDescent="0.45">
      <c r="A153" s="12">
        <v>43970</v>
      </c>
      <c r="B153" s="13" t="s">
        <v>13</v>
      </c>
      <c r="C153">
        <v>32434.5</v>
      </c>
      <c r="D153">
        <v>2865337.5</v>
      </c>
      <c r="E153" s="14">
        <f t="shared" si="2"/>
        <v>1707.078947368421</v>
      </c>
      <c r="F153">
        <f>WEEKNUM(Слияние1[[#This Row],[Дата]],2)</f>
        <v>21</v>
      </c>
      <c r="G153">
        <v>19</v>
      </c>
      <c r="H153">
        <v>1999</v>
      </c>
      <c r="I153">
        <v>1799</v>
      </c>
    </row>
    <row r="154" spans="1:9" x14ac:dyDescent="0.45">
      <c r="A154" s="12">
        <v>43968</v>
      </c>
      <c r="B154" s="13" t="s">
        <v>13</v>
      </c>
      <c r="C154">
        <v>30486</v>
      </c>
      <c r="D154">
        <v>2694289.5</v>
      </c>
      <c r="E154" s="14">
        <f t="shared" si="2"/>
        <v>1604.5263157894738</v>
      </c>
      <c r="F154">
        <f>WEEKNUM(Слияние1[[#This Row],[Дата]],2)</f>
        <v>20</v>
      </c>
      <c r="G154">
        <v>19</v>
      </c>
      <c r="H154">
        <v>1871</v>
      </c>
      <c r="I154">
        <v>1660</v>
      </c>
    </row>
    <row r="155" spans="1:9" x14ac:dyDescent="0.45">
      <c r="A155" s="12">
        <v>43955</v>
      </c>
      <c r="B155" s="13" t="s">
        <v>20</v>
      </c>
      <c r="C155">
        <v>23587.5</v>
      </c>
      <c r="D155">
        <v>2155668</v>
      </c>
      <c r="E155" s="14">
        <f t="shared" si="2"/>
        <v>1241.4473684210527</v>
      </c>
      <c r="F155">
        <f>WEEKNUM(Слияние1[[#This Row],[Дата]],2)</f>
        <v>19</v>
      </c>
      <c r="G155">
        <v>19</v>
      </c>
      <c r="H155">
        <v>1479</v>
      </c>
      <c r="I155">
        <v>1346</v>
      </c>
    </row>
    <row r="156" spans="1:9" x14ac:dyDescent="0.45">
      <c r="A156" s="12">
        <v>43960</v>
      </c>
      <c r="B156" s="13" t="s">
        <v>13</v>
      </c>
      <c r="C156">
        <v>32079</v>
      </c>
      <c r="D156">
        <v>2902167</v>
      </c>
      <c r="E156" s="14">
        <f t="shared" si="2"/>
        <v>1688.3684210526317</v>
      </c>
      <c r="F156">
        <f>WEEKNUM(Слияние1[[#This Row],[Дата]],2)</f>
        <v>19</v>
      </c>
      <c r="G156">
        <v>19</v>
      </c>
      <c r="H156">
        <v>1851</v>
      </c>
      <c r="I156">
        <v>1635</v>
      </c>
    </row>
    <row r="157" spans="1:9" x14ac:dyDescent="0.45">
      <c r="A157" s="12">
        <v>43955</v>
      </c>
      <c r="B157" s="13" t="s">
        <v>22</v>
      </c>
      <c r="C157">
        <v>223617</v>
      </c>
      <c r="D157">
        <v>22796827.5</v>
      </c>
      <c r="E157" s="14">
        <f t="shared" si="2"/>
        <v>4141.0555555555557</v>
      </c>
      <c r="F157">
        <f>WEEKNUM(Слияние1[[#This Row],[Дата]],2)</f>
        <v>19</v>
      </c>
      <c r="G157">
        <v>54</v>
      </c>
      <c r="H157">
        <v>13606</v>
      </c>
      <c r="I157">
        <v>12697</v>
      </c>
    </row>
    <row r="158" spans="1:9" x14ac:dyDescent="0.45">
      <c r="A158" s="12">
        <v>43955</v>
      </c>
      <c r="B158" s="13" t="s">
        <v>13</v>
      </c>
      <c r="C158">
        <v>27072</v>
      </c>
      <c r="D158">
        <v>2450968.5</v>
      </c>
      <c r="E158" s="14">
        <f t="shared" si="2"/>
        <v>1424.8421052631579</v>
      </c>
      <c r="F158">
        <f>WEEKNUM(Слияние1[[#This Row],[Дата]],2)</f>
        <v>19</v>
      </c>
      <c r="G158">
        <v>19</v>
      </c>
      <c r="H158">
        <v>1582</v>
      </c>
      <c r="I158">
        <v>1403</v>
      </c>
    </row>
    <row r="159" spans="1:9" x14ac:dyDescent="0.45">
      <c r="A159" s="12">
        <v>43955</v>
      </c>
      <c r="B159" s="13" t="s">
        <v>21</v>
      </c>
      <c r="C159">
        <v>237544.5</v>
      </c>
      <c r="D159">
        <v>24292218</v>
      </c>
      <c r="E159" s="14">
        <f t="shared" si="2"/>
        <v>4026.1779661016949</v>
      </c>
      <c r="F159">
        <f>WEEKNUM(Слияние1[[#This Row],[Дата]],2)</f>
        <v>19</v>
      </c>
      <c r="G159">
        <v>59</v>
      </c>
      <c r="H159">
        <v>14423</v>
      </c>
      <c r="I159">
        <v>13432</v>
      </c>
    </row>
    <row r="160" spans="1:9" x14ac:dyDescent="0.45">
      <c r="A160" s="12">
        <v>43955</v>
      </c>
      <c r="B160" s="13" t="s">
        <v>23</v>
      </c>
      <c r="C160">
        <v>11062.5</v>
      </c>
      <c r="D160">
        <v>906343.5</v>
      </c>
      <c r="E160" s="14">
        <f t="shared" si="2"/>
        <v>737.5</v>
      </c>
      <c r="F160">
        <f>WEEKNUM(Слияние1[[#This Row],[Дата]],2)</f>
        <v>19</v>
      </c>
      <c r="G160">
        <v>15</v>
      </c>
      <c r="H160">
        <v>622</v>
      </c>
      <c r="I160">
        <v>538</v>
      </c>
    </row>
    <row r="161" spans="1:9" x14ac:dyDescent="0.45">
      <c r="A161" s="12">
        <v>43977</v>
      </c>
      <c r="B161" s="13" t="s">
        <v>13</v>
      </c>
      <c r="C161">
        <v>31407</v>
      </c>
      <c r="D161">
        <v>2907411</v>
      </c>
      <c r="E161" s="14">
        <f t="shared" si="2"/>
        <v>1570.35</v>
      </c>
      <c r="F161">
        <f>WEEKNUM(Слияние1[[#This Row],[Дата]],2)</f>
        <v>22</v>
      </c>
      <c r="G161">
        <v>20</v>
      </c>
      <c r="H161">
        <v>2036</v>
      </c>
      <c r="I161">
        <v>1790</v>
      </c>
    </row>
    <row r="162" spans="1:9" x14ac:dyDescent="0.45">
      <c r="A162" s="12">
        <v>43955</v>
      </c>
      <c r="B162" s="13" t="s">
        <v>18</v>
      </c>
      <c r="C162">
        <v>12301.5</v>
      </c>
      <c r="D162">
        <v>1085211</v>
      </c>
      <c r="E162" s="14">
        <f t="shared" si="2"/>
        <v>820.1</v>
      </c>
      <c r="F162">
        <f>WEEKNUM(Слияние1[[#This Row],[Дата]],2)</f>
        <v>19</v>
      </c>
      <c r="G162">
        <v>15</v>
      </c>
      <c r="H162">
        <v>750</v>
      </c>
      <c r="I162">
        <v>647</v>
      </c>
    </row>
    <row r="163" spans="1:9" x14ac:dyDescent="0.45">
      <c r="A163" s="12">
        <v>43955</v>
      </c>
      <c r="B163" s="13" t="s">
        <v>19</v>
      </c>
      <c r="C163">
        <v>7087.5</v>
      </c>
      <c r="D163">
        <v>610855.5</v>
      </c>
      <c r="E163" s="14">
        <f t="shared" si="2"/>
        <v>472.5</v>
      </c>
      <c r="F163">
        <f>WEEKNUM(Слияние1[[#This Row],[Дата]],2)</f>
        <v>19</v>
      </c>
      <c r="G163">
        <v>15</v>
      </c>
      <c r="H163">
        <v>390</v>
      </c>
      <c r="I163">
        <v>315</v>
      </c>
    </row>
    <row r="164" spans="1:9" x14ac:dyDescent="0.45">
      <c r="A164" s="12">
        <v>43963</v>
      </c>
      <c r="B164" s="13" t="s">
        <v>13</v>
      </c>
      <c r="C164">
        <v>26032.5</v>
      </c>
      <c r="D164">
        <v>2370432</v>
      </c>
      <c r="E164" s="14">
        <f t="shared" si="2"/>
        <v>1370.1315789473683</v>
      </c>
      <c r="F164">
        <f>WEEKNUM(Слияние1[[#This Row],[Дата]],2)</f>
        <v>20</v>
      </c>
      <c r="G164">
        <v>19</v>
      </c>
      <c r="H164">
        <v>1649</v>
      </c>
      <c r="I164">
        <v>1460</v>
      </c>
    </row>
    <row r="165" spans="1:9" x14ac:dyDescent="0.45">
      <c r="A165" s="12">
        <v>43955</v>
      </c>
      <c r="B165" s="13" t="s">
        <v>15</v>
      </c>
      <c r="C165">
        <v>360255</v>
      </c>
      <c r="D165">
        <v>38406954</v>
      </c>
      <c r="E165" s="14">
        <f t="shared" si="2"/>
        <v>2882.04</v>
      </c>
      <c r="F165">
        <f>WEEKNUM(Слияние1[[#This Row],[Дата]],2)</f>
        <v>19</v>
      </c>
      <c r="G165">
        <v>125</v>
      </c>
      <c r="H165">
        <v>20495</v>
      </c>
      <c r="I165">
        <v>18964</v>
      </c>
    </row>
    <row r="166" spans="1:9" x14ac:dyDescent="0.45">
      <c r="A166" s="12">
        <v>43972</v>
      </c>
      <c r="B166" s="13" t="s">
        <v>13</v>
      </c>
      <c r="C166">
        <v>31707</v>
      </c>
      <c r="D166">
        <v>2853181.5</v>
      </c>
      <c r="E166" s="14">
        <f t="shared" si="2"/>
        <v>1668.7894736842106</v>
      </c>
      <c r="F166">
        <f>WEEKNUM(Слияние1[[#This Row],[Дата]],2)</f>
        <v>21</v>
      </c>
      <c r="G166">
        <v>19</v>
      </c>
      <c r="H166">
        <v>1949</v>
      </c>
      <c r="I166">
        <v>1724</v>
      </c>
    </row>
    <row r="167" spans="1:9" x14ac:dyDescent="0.45">
      <c r="A167" s="12">
        <v>43955</v>
      </c>
      <c r="B167" s="13" t="s">
        <v>14</v>
      </c>
      <c r="C167">
        <v>283942.5</v>
      </c>
      <c r="D167">
        <v>29357940</v>
      </c>
      <c r="E167" s="14">
        <f t="shared" si="2"/>
        <v>2201.1046511627906</v>
      </c>
      <c r="F167">
        <f>WEEKNUM(Слияние1[[#This Row],[Дата]],2)</f>
        <v>19</v>
      </c>
      <c r="G167">
        <v>129</v>
      </c>
      <c r="H167">
        <v>16525</v>
      </c>
      <c r="I167">
        <v>15310</v>
      </c>
    </row>
    <row r="168" spans="1:9" x14ac:dyDescent="0.45">
      <c r="A168" s="12">
        <v>43971</v>
      </c>
      <c r="B168" s="13" t="s">
        <v>13</v>
      </c>
      <c r="C168">
        <v>29955</v>
      </c>
      <c r="D168">
        <v>2692230</v>
      </c>
      <c r="E168" s="14">
        <f t="shared" si="2"/>
        <v>1576.578947368421</v>
      </c>
      <c r="F168">
        <f>WEEKNUM(Слияние1[[#This Row],[Дата]],2)</f>
        <v>21</v>
      </c>
      <c r="G168">
        <v>19</v>
      </c>
      <c r="H168">
        <v>1889</v>
      </c>
      <c r="I168">
        <v>1690</v>
      </c>
    </row>
    <row r="169" spans="1:9" x14ac:dyDescent="0.45">
      <c r="A169" s="12">
        <v>43956</v>
      </c>
      <c r="B169" s="13" t="s">
        <v>13</v>
      </c>
      <c r="C169">
        <v>22848</v>
      </c>
      <c r="D169">
        <v>2079900</v>
      </c>
      <c r="E169" s="14">
        <f t="shared" si="2"/>
        <v>1202.5263157894738</v>
      </c>
      <c r="F169">
        <f>WEEKNUM(Слияние1[[#This Row],[Дата]],2)</f>
        <v>19</v>
      </c>
      <c r="G169">
        <v>19</v>
      </c>
      <c r="H169">
        <v>1417</v>
      </c>
      <c r="I169">
        <v>1245</v>
      </c>
    </row>
    <row r="170" spans="1:9" x14ac:dyDescent="0.45">
      <c r="A170" s="12">
        <v>43956</v>
      </c>
      <c r="B170" s="13" t="s">
        <v>16</v>
      </c>
      <c r="C170">
        <v>66396</v>
      </c>
      <c r="D170">
        <v>5770539</v>
      </c>
      <c r="E170" s="14">
        <f t="shared" si="2"/>
        <v>1844.3333333333333</v>
      </c>
      <c r="F170">
        <f>WEEKNUM(Слияние1[[#This Row],[Дата]],2)</f>
        <v>19</v>
      </c>
      <c r="G170">
        <v>36</v>
      </c>
      <c r="H170">
        <v>4575</v>
      </c>
      <c r="I170">
        <v>4206</v>
      </c>
    </row>
    <row r="171" spans="1:9" x14ac:dyDescent="0.45">
      <c r="A171" s="12">
        <v>43964</v>
      </c>
      <c r="B171" s="13" t="s">
        <v>13</v>
      </c>
      <c r="C171">
        <v>26464.5</v>
      </c>
      <c r="D171">
        <v>2373337.5</v>
      </c>
      <c r="E171" s="14">
        <f t="shared" si="2"/>
        <v>1392.8684210526317</v>
      </c>
      <c r="F171">
        <f>WEEKNUM(Слияние1[[#This Row],[Дата]],2)</f>
        <v>20</v>
      </c>
      <c r="G171">
        <v>19</v>
      </c>
      <c r="H171">
        <v>1625</v>
      </c>
      <c r="I171">
        <v>1444</v>
      </c>
    </row>
    <row r="172" spans="1:9" x14ac:dyDescent="0.45">
      <c r="A172" s="12">
        <v>43956</v>
      </c>
      <c r="B172" s="13" t="s">
        <v>17</v>
      </c>
      <c r="C172">
        <v>29482.5</v>
      </c>
      <c r="D172">
        <v>2648688</v>
      </c>
      <c r="E172" s="14">
        <f t="shared" si="2"/>
        <v>1474.125</v>
      </c>
      <c r="F172">
        <f>WEEKNUM(Слияние1[[#This Row],[Дата]],2)</f>
        <v>19</v>
      </c>
      <c r="G172">
        <v>20</v>
      </c>
      <c r="H172">
        <v>1757</v>
      </c>
      <c r="I172">
        <v>1596</v>
      </c>
    </row>
    <row r="173" spans="1:9" x14ac:dyDescent="0.45">
      <c r="A173" s="12">
        <v>43957</v>
      </c>
      <c r="B173" s="13" t="s">
        <v>13</v>
      </c>
      <c r="C173">
        <v>24678</v>
      </c>
      <c r="D173">
        <v>2232519</v>
      </c>
      <c r="E173" s="14">
        <f t="shared" si="2"/>
        <v>1298.8421052631579</v>
      </c>
      <c r="F173">
        <f>WEEKNUM(Слияние1[[#This Row],[Дата]],2)</f>
        <v>19</v>
      </c>
      <c r="G173">
        <v>19</v>
      </c>
      <c r="H173">
        <v>1499</v>
      </c>
      <c r="I173">
        <v>1323</v>
      </c>
    </row>
    <row r="174" spans="1:9" x14ac:dyDescent="0.45">
      <c r="A174" s="12">
        <v>43956</v>
      </c>
      <c r="B174" s="13" t="s">
        <v>20</v>
      </c>
      <c r="C174">
        <v>26367</v>
      </c>
      <c r="D174">
        <v>2380333.5</v>
      </c>
      <c r="E174" s="14">
        <f t="shared" si="2"/>
        <v>1387.7368421052631</v>
      </c>
      <c r="F174">
        <f>WEEKNUM(Слияние1[[#This Row],[Дата]],2)</f>
        <v>19</v>
      </c>
      <c r="G174">
        <v>19</v>
      </c>
      <c r="H174">
        <v>1622</v>
      </c>
      <c r="I174">
        <v>1482</v>
      </c>
    </row>
    <row r="175" spans="1:9" x14ac:dyDescent="0.45">
      <c r="A175" s="12">
        <v>43974</v>
      </c>
      <c r="B175" s="13" t="s">
        <v>13</v>
      </c>
      <c r="C175">
        <v>38176.5</v>
      </c>
      <c r="D175">
        <v>3385372.5</v>
      </c>
      <c r="E175" s="14">
        <f t="shared" si="2"/>
        <v>1908.825</v>
      </c>
      <c r="F175">
        <f>WEEKNUM(Слияние1[[#This Row],[Дата]],2)</f>
        <v>21</v>
      </c>
      <c r="G175">
        <v>20</v>
      </c>
      <c r="H175">
        <v>2266</v>
      </c>
      <c r="I175">
        <v>1993</v>
      </c>
    </row>
    <row r="176" spans="1:9" x14ac:dyDescent="0.45">
      <c r="A176" s="12">
        <v>43956</v>
      </c>
      <c r="B176" s="13" t="s">
        <v>22</v>
      </c>
      <c r="C176">
        <v>203832</v>
      </c>
      <c r="D176">
        <v>20880142.5</v>
      </c>
      <c r="E176" s="14">
        <f t="shared" si="2"/>
        <v>3774.6666666666665</v>
      </c>
      <c r="F176">
        <f>WEEKNUM(Слияние1[[#This Row],[Дата]],2)</f>
        <v>19</v>
      </c>
      <c r="G176">
        <v>54</v>
      </c>
      <c r="H176">
        <v>12775</v>
      </c>
      <c r="I176">
        <v>11887</v>
      </c>
    </row>
    <row r="177" spans="1:9" x14ac:dyDescent="0.45">
      <c r="A177" s="12">
        <v>43976</v>
      </c>
      <c r="B177" s="13" t="s">
        <v>13</v>
      </c>
      <c r="C177">
        <v>30603</v>
      </c>
      <c r="D177">
        <v>2865727.5</v>
      </c>
      <c r="E177" s="14">
        <f t="shared" si="2"/>
        <v>1530.15</v>
      </c>
      <c r="F177">
        <f>WEEKNUM(Слияние1[[#This Row],[Дата]],2)</f>
        <v>22</v>
      </c>
      <c r="G177">
        <v>20</v>
      </c>
      <c r="H177">
        <v>2011</v>
      </c>
      <c r="I177">
        <v>1791</v>
      </c>
    </row>
    <row r="178" spans="1:9" x14ac:dyDescent="0.45">
      <c r="A178" s="12">
        <v>43956</v>
      </c>
      <c r="B178" s="13" t="s">
        <v>21</v>
      </c>
      <c r="C178">
        <v>213582</v>
      </c>
      <c r="D178">
        <v>21919435.5</v>
      </c>
      <c r="E178" s="14">
        <f t="shared" si="2"/>
        <v>3620.0338983050847</v>
      </c>
      <c r="F178">
        <f>WEEKNUM(Слияние1[[#This Row],[Дата]],2)</f>
        <v>19</v>
      </c>
      <c r="G178">
        <v>59</v>
      </c>
      <c r="H178">
        <v>13469</v>
      </c>
      <c r="I178">
        <v>12486</v>
      </c>
    </row>
    <row r="179" spans="1:9" x14ac:dyDescent="0.45">
      <c r="A179" s="12">
        <v>43961</v>
      </c>
      <c r="B179" s="13" t="s">
        <v>13</v>
      </c>
      <c r="C179">
        <v>31399.5</v>
      </c>
      <c r="D179">
        <v>2862298.5</v>
      </c>
      <c r="E179" s="14">
        <f t="shared" si="2"/>
        <v>1652.6052631578948</v>
      </c>
      <c r="F179">
        <f>WEEKNUM(Слияние1[[#This Row],[Дата]],2)</f>
        <v>19</v>
      </c>
      <c r="G179">
        <v>19</v>
      </c>
      <c r="H179">
        <v>1848</v>
      </c>
      <c r="I179">
        <v>1649</v>
      </c>
    </row>
    <row r="180" spans="1:9" x14ac:dyDescent="0.45">
      <c r="A180" s="12">
        <v>43956</v>
      </c>
      <c r="B180" s="13" t="s">
        <v>23</v>
      </c>
      <c r="C180">
        <v>13941</v>
      </c>
      <c r="D180">
        <v>1145575.5</v>
      </c>
      <c r="E180" s="14">
        <f t="shared" si="2"/>
        <v>929.4</v>
      </c>
      <c r="F180">
        <f>WEEKNUM(Слияние1[[#This Row],[Дата]],2)</f>
        <v>19</v>
      </c>
      <c r="G180">
        <v>15</v>
      </c>
      <c r="H180">
        <v>750</v>
      </c>
      <c r="I180">
        <v>658</v>
      </c>
    </row>
    <row r="181" spans="1:9" x14ac:dyDescent="0.45">
      <c r="A181" s="12">
        <v>43959</v>
      </c>
      <c r="B181" s="13" t="s">
        <v>13</v>
      </c>
      <c r="C181">
        <v>25294.5</v>
      </c>
      <c r="D181">
        <v>2271454.5</v>
      </c>
      <c r="E181" s="14">
        <f t="shared" si="2"/>
        <v>1331.2894736842106</v>
      </c>
      <c r="F181">
        <f>WEEKNUM(Слияние1[[#This Row],[Дата]],2)</f>
        <v>19</v>
      </c>
      <c r="G181">
        <v>19</v>
      </c>
      <c r="H181">
        <v>1522</v>
      </c>
      <c r="I181">
        <v>1340</v>
      </c>
    </row>
    <row r="182" spans="1:9" x14ac:dyDescent="0.45">
      <c r="A182" s="12">
        <v>43956</v>
      </c>
      <c r="B182" s="13" t="s">
        <v>18</v>
      </c>
      <c r="C182">
        <v>15987</v>
      </c>
      <c r="D182">
        <v>1384179</v>
      </c>
      <c r="E182" s="14">
        <f t="shared" si="2"/>
        <v>1065.8</v>
      </c>
      <c r="F182">
        <f>WEEKNUM(Слияние1[[#This Row],[Дата]],2)</f>
        <v>19</v>
      </c>
      <c r="G182">
        <v>15</v>
      </c>
      <c r="H182">
        <v>922</v>
      </c>
      <c r="I182">
        <v>823</v>
      </c>
    </row>
    <row r="183" spans="1:9" x14ac:dyDescent="0.45">
      <c r="A183" s="12">
        <v>43958</v>
      </c>
      <c r="B183" s="13" t="s">
        <v>13</v>
      </c>
      <c r="C183">
        <v>25468.5</v>
      </c>
      <c r="D183">
        <v>2350672.5</v>
      </c>
      <c r="E183" s="14">
        <f t="shared" si="2"/>
        <v>1340.4473684210527</v>
      </c>
      <c r="F183">
        <f>WEEKNUM(Слияние1[[#This Row],[Дата]],2)</f>
        <v>19</v>
      </c>
      <c r="G183">
        <v>19</v>
      </c>
      <c r="H183">
        <v>1530</v>
      </c>
      <c r="I183">
        <v>1338</v>
      </c>
    </row>
    <row r="184" spans="1:9" x14ac:dyDescent="0.45">
      <c r="A184" s="12">
        <v>43956</v>
      </c>
      <c r="B184" s="13" t="s">
        <v>19</v>
      </c>
      <c r="C184">
        <v>8223</v>
      </c>
      <c r="D184">
        <v>694593</v>
      </c>
      <c r="E184" s="14">
        <f t="shared" si="2"/>
        <v>548.20000000000005</v>
      </c>
      <c r="F184">
        <f>WEEKNUM(Слияние1[[#This Row],[Дата]],2)</f>
        <v>19</v>
      </c>
      <c r="G184">
        <v>15</v>
      </c>
      <c r="H184">
        <v>455</v>
      </c>
      <c r="I184">
        <v>381</v>
      </c>
    </row>
    <row r="185" spans="1:9" x14ac:dyDescent="0.45">
      <c r="A185" s="12">
        <v>43975</v>
      </c>
      <c r="B185" s="13" t="s">
        <v>13</v>
      </c>
      <c r="C185">
        <v>31854</v>
      </c>
      <c r="D185">
        <v>2915533.5</v>
      </c>
      <c r="E185" s="14">
        <f t="shared" si="2"/>
        <v>1592.7</v>
      </c>
      <c r="F185">
        <f>WEEKNUM(Слияние1[[#This Row],[Дата]],2)</f>
        <v>21</v>
      </c>
      <c r="G185">
        <v>20</v>
      </c>
      <c r="H185">
        <v>2015</v>
      </c>
      <c r="I185">
        <v>1803</v>
      </c>
    </row>
    <row r="186" spans="1:9" x14ac:dyDescent="0.45">
      <c r="A186" s="12">
        <v>43956</v>
      </c>
      <c r="B186" s="13" t="s">
        <v>15</v>
      </c>
      <c r="C186">
        <v>333792</v>
      </c>
      <c r="D186">
        <v>35671734</v>
      </c>
      <c r="E186" s="14">
        <f t="shared" si="2"/>
        <v>2670.3359999999998</v>
      </c>
      <c r="F186">
        <f>WEEKNUM(Слияние1[[#This Row],[Дата]],2)</f>
        <v>19</v>
      </c>
      <c r="G186">
        <v>125</v>
      </c>
      <c r="H186">
        <v>18944</v>
      </c>
      <c r="I186">
        <v>17541</v>
      </c>
    </row>
    <row r="187" spans="1:9" x14ac:dyDescent="0.45">
      <c r="A187" s="12">
        <v>43982</v>
      </c>
      <c r="B187" s="13" t="s">
        <v>13</v>
      </c>
      <c r="C187">
        <v>32359.5</v>
      </c>
      <c r="D187">
        <v>2991999</v>
      </c>
      <c r="E187" s="14">
        <f t="shared" si="2"/>
        <v>1617.9749999999999</v>
      </c>
      <c r="F187">
        <f>WEEKNUM(Слияние1[[#This Row],[Дата]],2)</f>
        <v>22</v>
      </c>
      <c r="G187">
        <v>20</v>
      </c>
      <c r="H187">
        <v>2060</v>
      </c>
      <c r="I187">
        <v>1826</v>
      </c>
    </row>
    <row r="188" spans="1:9" x14ac:dyDescent="0.45">
      <c r="A188" s="12">
        <v>43956</v>
      </c>
      <c r="B188" s="13" t="s">
        <v>14</v>
      </c>
      <c r="C188">
        <v>262734</v>
      </c>
      <c r="D188">
        <v>27278441.145</v>
      </c>
      <c r="E188" s="14">
        <f t="shared" si="2"/>
        <v>2036.6976744186047</v>
      </c>
      <c r="F188">
        <f>WEEKNUM(Слияние1[[#This Row],[Дата]],2)</f>
        <v>19</v>
      </c>
      <c r="G188">
        <v>129</v>
      </c>
      <c r="H188">
        <v>15665</v>
      </c>
      <c r="I188">
        <v>14501</v>
      </c>
    </row>
    <row r="189" spans="1:9" x14ac:dyDescent="0.45">
      <c r="A189" s="12">
        <v>43981</v>
      </c>
      <c r="B189" s="13" t="s">
        <v>13</v>
      </c>
      <c r="C189">
        <v>39867</v>
      </c>
      <c r="D189">
        <v>3654166.5</v>
      </c>
      <c r="E189" s="14">
        <f t="shared" si="2"/>
        <v>1993.35</v>
      </c>
      <c r="F189">
        <f>WEEKNUM(Слияние1[[#This Row],[Дата]],2)</f>
        <v>22</v>
      </c>
      <c r="G189">
        <v>20</v>
      </c>
      <c r="H189">
        <v>2451</v>
      </c>
      <c r="I189">
        <v>2178</v>
      </c>
    </row>
    <row r="190" spans="1:9" x14ac:dyDescent="0.45">
      <c r="A190" s="12">
        <v>43979</v>
      </c>
      <c r="B190" s="13" t="s">
        <v>13</v>
      </c>
      <c r="C190">
        <v>31974</v>
      </c>
      <c r="D190">
        <v>3004213.5</v>
      </c>
      <c r="E190" s="14">
        <f t="shared" si="2"/>
        <v>1598.7</v>
      </c>
      <c r="F190">
        <f>WEEKNUM(Слияние1[[#This Row],[Дата]],2)</f>
        <v>22</v>
      </c>
      <c r="G190">
        <v>20</v>
      </c>
      <c r="H190">
        <v>2088</v>
      </c>
      <c r="I190">
        <v>1848</v>
      </c>
    </row>
    <row r="191" spans="1:9" x14ac:dyDescent="0.45">
      <c r="A191" s="12">
        <v>43957</v>
      </c>
      <c r="B191" s="13" t="s">
        <v>16</v>
      </c>
      <c r="C191">
        <v>63012</v>
      </c>
      <c r="D191">
        <v>5454121.5</v>
      </c>
      <c r="E191" s="14">
        <f t="shared" si="2"/>
        <v>1750.3333333333333</v>
      </c>
      <c r="F191">
        <f>WEEKNUM(Слияние1[[#This Row],[Дата]],2)</f>
        <v>19</v>
      </c>
      <c r="G191">
        <v>36</v>
      </c>
      <c r="H191">
        <v>4384</v>
      </c>
      <c r="I191">
        <v>4025</v>
      </c>
    </row>
    <row r="192" spans="1:9" x14ac:dyDescent="0.45">
      <c r="A192" s="12">
        <v>43967</v>
      </c>
      <c r="B192" s="13" t="s">
        <v>14</v>
      </c>
      <c r="C192">
        <v>321412.5</v>
      </c>
      <c r="D192">
        <v>32235864</v>
      </c>
      <c r="E192" s="14">
        <f t="shared" si="2"/>
        <v>2491.5697674418607</v>
      </c>
      <c r="F192">
        <f>WEEKNUM(Слияние1[[#This Row],[Дата]],2)</f>
        <v>20</v>
      </c>
      <c r="G192">
        <v>129</v>
      </c>
      <c r="H192">
        <v>17914</v>
      </c>
      <c r="I192">
        <v>16631</v>
      </c>
    </row>
    <row r="193" spans="1:9" x14ac:dyDescent="0.45">
      <c r="A193" s="12">
        <v>43970</v>
      </c>
      <c r="B193" s="13" t="s">
        <v>14</v>
      </c>
      <c r="C193">
        <v>276568.5</v>
      </c>
      <c r="D193">
        <v>27093624</v>
      </c>
      <c r="E193" s="14">
        <f t="shared" si="2"/>
        <v>2143.9418604651164</v>
      </c>
      <c r="F193">
        <f>WEEKNUM(Слияние1[[#This Row],[Дата]],2)</f>
        <v>21</v>
      </c>
      <c r="G193">
        <v>129</v>
      </c>
      <c r="H193">
        <v>16191</v>
      </c>
      <c r="I193">
        <v>15102</v>
      </c>
    </row>
    <row r="194" spans="1:9" x14ac:dyDescent="0.45">
      <c r="A194" s="12">
        <v>43957</v>
      </c>
      <c r="B194" s="13" t="s">
        <v>17</v>
      </c>
      <c r="C194">
        <v>30342</v>
      </c>
      <c r="D194">
        <v>2738127</v>
      </c>
      <c r="E194" s="14">
        <f t="shared" si="2"/>
        <v>1517.1</v>
      </c>
      <c r="F194">
        <f>WEEKNUM(Слияние1[[#This Row],[Дата]],2)</f>
        <v>19</v>
      </c>
      <c r="G194">
        <v>20</v>
      </c>
      <c r="H194">
        <v>1747</v>
      </c>
      <c r="I194">
        <v>1570</v>
      </c>
    </row>
    <row r="195" spans="1:9" x14ac:dyDescent="0.45">
      <c r="A195" s="12">
        <v>43968</v>
      </c>
      <c r="B195" s="13" t="s">
        <v>14</v>
      </c>
      <c r="C195">
        <v>269029.5</v>
      </c>
      <c r="D195">
        <v>26659930.5</v>
      </c>
      <c r="E195" s="14">
        <f t="shared" ref="E195:E258" si="3">C195/G195</f>
        <v>2085.5</v>
      </c>
      <c r="F195">
        <f>WEEKNUM(Слияние1[[#This Row],[Дата]],2)</f>
        <v>20</v>
      </c>
      <c r="G195">
        <v>129</v>
      </c>
      <c r="H195">
        <v>15744</v>
      </c>
      <c r="I195">
        <v>14685</v>
      </c>
    </row>
    <row r="196" spans="1:9" x14ac:dyDescent="0.45">
      <c r="A196" s="12">
        <v>43960</v>
      </c>
      <c r="B196" s="13" t="s">
        <v>14</v>
      </c>
      <c r="C196">
        <v>285972</v>
      </c>
      <c r="D196">
        <v>29768199</v>
      </c>
      <c r="E196" s="14">
        <f t="shared" si="3"/>
        <v>2216.8372093023254</v>
      </c>
      <c r="F196">
        <f>WEEKNUM(Слияние1[[#This Row],[Дата]],2)</f>
        <v>19</v>
      </c>
      <c r="G196">
        <v>129</v>
      </c>
      <c r="H196">
        <v>16420</v>
      </c>
      <c r="I196">
        <v>15169</v>
      </c>
    </row>
    <row r="197" spans="1:9" x14ac:dyDescent="0.45">
      <c r="A197" s="12">
        <v>43957</v>
      </c>
      <c r="B197" s="13" t="s">
        <v>20</v>
      </c>
      <c r="C197">
        <v>24337.5</v>
      </c>
      <c r="D197">
        <v>2159350.5</v>
      </c>
      <c r="E197" s="14">
        <f t="shared" si="3"/>
        <v>1280.921052631579</v>
      </c>
      <c r="F197">
        <f>WEEKNUM(Слияние1[[#This Row],[Дата]],2)</f>
        <v>19</v>
      </c>
      <c r="G197">
        <v>19</v>
      </c>
      <c r="H197">
        <v>1509</v>
      </c>
      <c r="I197">
        <v>1374</v>
      </c>
    </row>
    <row r="198" spans="1:9" x14ac:dyDescent="0.45">
      <c r="A198" s="12">
        <v>43957</v>
      </c>
      <c r="B198" s="13" t="s">
        <v>22</v>
      </c>
      <c r="C198">
        <v>216498</v>
      </c>
      <c r="D198">
        <v>22126444.5</v>
      </c>
      <c r="E198" s="14">
        <f t="shared" si="3"/>
        <v>4009.2222222222222</v>
      </c>
      <c r="F198">
        <f>WEEKNUM(Слияние1[[#This Row],[Дата]],2)</f>
        <v>19</v>
      </c>
      <c r="G198">
        <v>54</v>
      </c>
      <c r="H198">
        <v>13406</v>
      </c>
      <c r="I198">
        <v>12518</v>
      </c>
    </row>
    <row r="199" spans="1:9" x14ac:dyDescent="0.45">
      <c r="A199" s="12">
        <v>43957</v>
      </c>
      <c r="B199" s="13" t="s">
        <v>21</v>
      </c>
      <c r="C199">
        <v>224779.5</v>
      </c>
      <c r="D199">
        <v>23032992</v>
      </c>
      <c r="E199" s="14">
        <f t="shared" si="3"/>
        <v>3809.8220338983051</v>
      </c>
      <c r="F199">
        <f>WEEKNUM(Слияние1[[#This Row],[Дата]],2)</f>
        <v>19</v>
      </c>
      <c r="G199">
        <v>59</v>
      </c>
      <c r="H199">
        <v>14103</v>
      </c>
      <c r="I199">
        <v>13118</v>
      </c>
    </row>
    <row r="200" spans="1:9" x14ac:dyDescent="0.45">
      <c r="A200" s="12">
        <v>43977</v>
      </c>
      <c r="B200" s="13" t="s">
        <v>14</v>
      </c>
      <c r="C200">
        <v>276966</v>
      </c>
      <c r="D200">
        <v>27872617.898850001</v>
      </c>
      <c r="E200" s="14">
        <f t="shared" si="3"/>
        <v>2147.0232558139537</v>
      </c>
      <c r="F200">
        <f>WEEKNUM(Слияние1[[#This Row],[Дата]],2)</f>
        <v>22</v>
      </c>
      <c r="G200">
        <v>129</v>
      </c>
      <c r="H200">
        <v>16459</v>
      </c>
      <c r="I200">
        <v>15355</v>
      </c>
    </row>
    <row r="201" spans="1:9" x14ac:dyDescent="0.45">
      <c r="A201" s="12">
        <v>43957</v>
      </c>
      <c r="B201" s="13" t="s">
        <v>23</v>
      </c>
      <c r="C201">
        <v>12468</v>
      </c>
      <c r="D201">
        <v>1016566.5</v>
      </c>
      <c r="E201" s="14">
        <f t="shared" si="3"/>
        <v>831.2</v>
      </c>
      <c r="F201">
        <f>WEEKNUM(Слияние1[[#This Row],[Дата]],2)</f>
        <v>19</v>
      </c>
      <c r="G201">
        <v>15</v>
      </c>
      <c r="H201">
        <v>701</v>
      </c>
      <c r="I201">
        <v>611</v>
      </c>
    </row>
    <row r="202" spans="1:9" x14ac:dyDescent="0.45">
      <c r="A202" s="12">
        <v>43957</v>
      </c>
      <c r="B202" s="13" t="s">
        <v>18</v>
      </c>
      <c r="C202">
        <v>14061</v>
      </c>
      <c r="D202">
        <v>1221057</v>
      </c>
      <c r="E202" s="14">
        <f t="shared" si="3"/>
        <v>937.4</v>
      </c>
      <c r="F202">
        <f>WEEKNUM(Слияние1[[#This Row],[Дата]],2)</f>
        <v>19</v>
      </c>
      <c r="G202">
        <v>15</v>
      </c>
      <c r="H202">
        <v>839</v>
      </c>
      <c r="I202">
        <v>733</v>
      </c>
    </row>
    <row r="203" spans="1:9" x14ac:dyDescent="0.45">
      <c r="A203" s="12">
        <v>43963</v>
      </c>
      <c r="B203" s="13" t="s">
        <v>14</v>
      </c>
      <c r="C203">
        <v>281796</v>
      </c>
      <c r="D203">
        <v>29042520</v>
      </c>
      <c r="E203" s="14">
        <f t="shared" si="3"/>
        <v>2184.4651162790697</v>
      </c>
      <c r="F203">
        <f>WEEKNUM(Слияние1[[#This Row],[Дата]],2)</f>
        <v>20</v>
      </c>
      <c r="G203">
        <v>129</v>
      </c>
      <c r="H203">
        <v>16387</v>
      </c>
      <c r="I203">
        <v>15322</v>
      </c>
    </row>
    <row r="204" spans="1:9" x14ac:dyDescent="0.45">
      <c r="A204" s="12">
        <v>43957</v>
      </c>
      <c r="B204" s="13" t="s">
        <v>19</v>
      </c>
      <c r="C204">
        <v>8464.5</v>
      </c>
      <c r="D204">
        <v>739291.5</v>
      </c>
      <c r="E204" s="14">
        <f t="shared" si="3"/>
        <v>564.29999999999995</v>
      </c>
      <c r="F204">
        <f>WEEKNUM(Слияние1[[#This Row],[Дата]],2)</f>
        <v>19</v>
      </c>
      <c r="G204">
        <v>15</v>
      </c>
      <c r="H204">
        <v>467</v>
      </c>
      <c r="I204">
        <v>389</v>
      </c>
    </row>
    <row r="205" spans="1:9" x14ac:dyDescent="0.45">
      <c r="A205" s="12">
        <v>43972</v>
      </c>
      <c r="B205" s="13" t="s">
        <v>14</v>
      </c>
      <c r="C205">
        <v>288936</v>
      </c>
      <c r="D205">
        <v>27852900</v>
      </c>
      <c r="E205" s="14">
        <f t="shared" si="3"/>
        <v>2239.8139534883721</v>
      </c>
      <c r="F205">
        <f>WEEKNUM(Слияние1[[#This Row],[Дата]],2)</f>
        <v>21</v>
      </c>
      <c r="G205">
        <v>129</v>
      </c>
      <c r="H205">
        <v>16373</v>
      </c>
      <c r="I205">
        <v>15223</v>
      </c>
    </row>
    <row r="206" spans="1:9" x14ac:dyDescent="0.45">
      <c r="A206" s="12">
        <v>43957</v>
      </c>
      <c r="B206" s="13" t="s">
        <v>15</v>
      </c>
      <c r="C206">
        <v>355278</v>
      </c>
      <c r="D206">
        <v>38092344</v>
      </c>
      <c r="E206" s="14">
        <f t="shared" si="3"/>
        <v>2842.2240000000002</v>
      </c>
      <c r="F206">
        <f>WEEKNUM(Слияние1[[#This Row],[Дата]],2)</f>
        <v>19</v>
      </c>
      <c r="G206">
        <v>125</v>
      </c>
      <c r="H206">
        <v>20218</v>
      </c>
      <c r="I206">
        <v>18647</v>
      </c>
    </row>
    <row r="207" spans="1:9" x14ac:dyDescent="0.45">
      <c r="A207" s="12">
        <v>43971</v>
      </c>
      <c r="B207" s="13" t="s">
        <v>14</v>
      </c>
      <c r="C207">
        <v>300151.5</v>
      </c>
      <c r="D207">
        <v>29368771.617449999</v>
      </c>
      <c r="E207" s="14">
        <f t="shared" si="3"/>
        <v>2326.7558139534885</v>
      </c>
      <c r="F207">
        <f>WEEKNUM(Слияние1[[#This Row],[Дата]],2)</f>
        <v>21</v>
      </c>
      <c r="G207">
        <v>129</v>
      </c>
      <c r="H207">
        <v>17095</v>
      </c>
      <c r="I207">
        <v>15919</v>
      </c>
    </row>
    <row r="208" spans="1:9" x14ac:dyDescent="0.45">
      <c r="A208" s="12">
        <v>43957</v>
      </c>
      <c r="B208" s="13" t="s">
        <v>14</v>
      </c>
      <c r="C208">
        <v>277512</v>
      </c>
      <c r="D208">
        <v>28770810.105599999</v>
      </c>
      <c r="E208" s="14">
        <f t="shared" si="3"/>
        <v>2151.2558139534885</v>
      </c>
      <c r="F208">
        <f>WEEKNUM(Слияние1[[#This Row],[Дата]],2)</f>
        <v>19</v>
      </c>
      <c r="G208">
        <v>129</v>
      </c>
      <c r="H208">
        <v>16376</v>
      </c>
      <c r="I208">
        <v>15197</v>
      </c>
    </row>
    <row r="209" spans="1:9" x14ac:dyDescent="0.45">
      <c r="A209" s="12">
        <v>43958</v>
      </c>
      <c r="B209" s="13" t="s">
        <v>16</v>
      </c>
      <c r="C209">
        <v>71067</v>
      </c>
      <c r="D209">
        <v>6175837.5</v>
      </c>
      <c r="E209" s="14">
        <f t="shared" si="3"/>
        <v>1974.0833333333333</v>
      </c>
      <c r="F209">
        <f>WEEKNUM(Слияние1[[#This Row],[Дата]],2)</f>
        <v>19</v>
      </c>
      <c r="G209">
        <v>36</v>
      </c>
      <c r="H209">
        <v>4826</v>
      </c>
      <c r="I209">
        <v>4426</v>
      </c>
    </row>
    <row r="210" spans="1:9" x14ac:dyDescent="0.45">
      <c r="A210" s="12">
        <v>43964</v>
      </c>
      <c r="B210" s="13" t="s">
        <v>14</v>
      </c>
      <c r="C210">
        <v>258459</v>
      </c>
      <c r="D210">
        <v>26467453.5</v>
      </c>
      <c r="E210" s="14">
        <f t="shared" si="3"/>
        <v>2003.5581395348838</v>
      </c>
      <c r="F210">
        <f>WEEKNUM(Слияние1[[#This Row],[Дата]],2)</f>
        <v>20</v>
      </c>
      <c r="G210">
        <v>129</v>
      </c>
      <c r="H210">
        <v>15304</v>
      </c>
      <c r="I210">
        <v>14315</v>
      </c>
    </row>
    <row r="211" spans="1:9" x14ac:dyDescent="0.45">
      <c r="A211" s="12">
        <v>43958</v>
      </c>
      <c r="B211" s="13" t="s">
        <v>17</v>
      </c>
      <c r="C211">
        <v>32851.5</v>
      </c>
      <c r="D211">
        <v>2934504</v>
      </c>
      <c r="E211" s="14">
        <f t="shared" si="3"/>
        <v>1564.3571428571429</v>
      </c>
      <c r="F211">
        <f>WEEKNUM(Слияние1[[#This Row],[Дата]],2)</f>
        <v>19</v>
      </c>
      <c r="G211">
        <v>21</v>
      </c>
      <c r="H211">
        <v>1879</v>
      </c>
      <c r="I211">
        <v>1695</v>
      </c>
    </row>
    <row r="212" spans="1:9" x14ac:dyDescent="0.45">
      <c r="A212" s="12">
        <v>43974</v>
      </c>
      <c r="B212" s="13" t="s">
        <v>14</v>
      </c>
      <c r="C212">
        <v>356982</v>
      </c>
      <c r="D212">
        <v>35103926.711549997</v>
      </c>
      <c r="E212" s="14">
        <f t="shared" si="3"/>
        <v>2767.3023255813955</v>
      </c>
      <c r="F212">
        <f>WEEKNUM(Слияние1[[#This Row],[Дата]],2)</f>
        <v>21</v>
      </c>
      <c r="G212">
        <v>129</v>
      </c>
      <c r="H212">
        <v>19856</v>
      </c>
      <c r="I212">
        <v>18325</v>
      </c>
    </row>
    <row r="213" spans="1:9" x14ac:dyDescent="0.45">
      <c r="A213" s="12">
        <v>43958</v>
      </c>
      <c r="B213" s="13" t="s">
        <v>20</v>
      </c>
      <c r="C213">
        <v>26184</v>
      </c>
      <c r="D213">
        <v>2308336.5</v>
      </c>
      <c r="E213" s="14">
        <f t="shared" si="3"/>
        <v>1378.1052631578948</v>
      </c>
      <c r="F213">
        <f>WEEKNUM(Слияние1[[#This Row],[Дата]],2)</f>
        <v>19</v>
      </c>
      <c r="G213">
        <v>19</v>
      </c>
      <c r="H213">
        <v>1580</v>
      </c>
      <c r="I213">
        <v>1435</v>
      </c>
    </row>
    <row r="214" spans="1:9" x14ac:dyDescent="0.45">
      <c r="A214" s="12">
        <v>43976</v>
      </c>
      <c r="B214" s="13" t="s">
        <v>14</v>
      </c>
      <c r="C214">
        <v>266983.5</v>
      </c>
      <c r="D214">
        <v>27165913.5</v>
      </c>
      <c r="E214" s="14">
        <f t="shared" si="3"/>
        <v>2069.6395348837209</v>
      </c>
      <c r="F214">
        <f>WEEKNUM(Слияние1[[#This Row],[Дата]],2)</f>
        <v>22</v>
      </c>
      <c r="G214">
        <v>129</v>
      </c>
      <c r="H214">
        <v>15822</v>
      </c>
      <c r="I214">
        <v>14753</v>
      </c>
    </row>
    <row r="215" spans="1:9" x14ac:dyDescent="0.45">
      <c r="A215" s="12">
        <v>43958</v>
      </c>
      <c r="B215" s="13" t="s">
        <v>22</v>
      </c>
      <c r="C215">
        <v>209415</v>
      </c>
      <c r="D215">
        <v>21463023</v>
      </c>
      <c r="E215" s="14">
        <f t="shared" si="3"/>
        <v>3878.0555555555557</v>
      </c>
      <c r="F215">
        <f>WEEKNUM(Слияние1[[#This Row],[Дата]],2)</f>
        <v>19</v>
      </c>
      <c r="G215">
        <v>54</v>
      </c>
      <c r="H215">
        <v>12743</v>
      </c>
      <c r="I215">
        <v>11858</v>
      </c>
    </row>
    <row r="216" spans="1:9" x14ac:dyDescent="0.45">
      <c r="A216" s="12">
        <v>43958</v>
      </c>
      <c r="B216" s="13" t="s">
        <v>21</v>
      </c>
      <c r="C216">
        <v>219411</v>
      </c>
      <c r="D216">
        <v>22460130</v>
      </c>
      <c r="E216" s="14">
        <f t="shared" si="3"/>
        <v>3718.8305084745762</v>
      </c>
      <c r="F216">
        <f>WEEKNUM(Слияние1[[#This Row],[Дата]],2)</f>
        <v>19</v>
      </c>
      <c r="G216">
        <v>59</v>
      </c>
      <c r="H216">
        <v>13495</v>
      </c>
      <c r="I216">
        <v>12517</v>
      </c>
    </row>
    <row r="217" spans="1:9" x14ac:dyDescent="0.45">
      <c r="A217" s="12">
        <v>43961</v>
      </c>
      <c r="B217" s="13" t="s">
        <v>14</v>
      </c>
      <c r="C217">
        <v>287206.5</v>
      </c>
      <c r="D217">
        <v>29536176.10605</v>
      </c>
      <c r="E217" s="14">
        <f t="shared" si="3"/>
        <v>2226.4069767441861</v>
      </c>
      <c r="F217">
        <f>WEEKNUM(Слияние1[[#This Row],[Дата]],2)</f>
        <v>19</v>
      </c>
      <c r="G217">
        <v>129</v>
      </c>
      <c r="H217">
        <v>16437</v>
      </c>
      <c r="I217">
        <v>15285</v>
      </c>
    </row>
    <row r="218" spans="1:9" x14ac:dyDescent="0.45">
      <c r="A218" s="12">
        <v>43959</v>
      </c>
      <c r="B218" s="13" t="s">
        <v>14</v>
      </c>
      <c r="C218">
        <v>370092</v>
      </c>
      <c r="D218">
        <v>38091556.5</v>
      </c>
      <c r="E218" s="14">
        <f t="shared" si="3"/>
        <v>2868.9302325581393</v>
      </c>
      <c r="F218">
        <f>WEEKNUM(Слияние1[[#This Row],[Дата]],2)</f>
        <v>19</v>
      </c>
      <c r="G218">
        <v>129</v>
      </c>
      <c r="H218">
        <v>20452</v>
      </c>
      <c r="I218">
        <v>18857</v>
      </c>
    </row>
    <row r="219" spans="1:9" x14ac:dyDescent="0.45">
      <c r="A219" s="12">
        <v>43958</v>
      </c>
      <c r="B219" s="13" t="s">
        <v>23</v>
      </c>
      <c r="C219">
        <v>11719.5</v>
      </c>
      <c r="D219">
        <v>965880</v>
      </c>
      <c r="E219" s="14">
        <f t="shared" si="3"/>
        <v>781.3</v>
      </c>
      <c r="F219">
        <f>WEEKNUM(Слияние1[[#This Row],[Дата]],2)</f>
        <v>19</v>
      </c>
      <c r="G219">
        <v>15</v>
      </c>
      <c r="H219">
        <v>676</v>
      </c>
      <c r="I219">
        <v>591</v>
      </c>
    </row>
    <row r="220" spans="1:9" x14ac:dyDescent="0.45">
      <c r="A220" s="12">
        <v>43958</v>
      </c>
      <c r="B220" s="13" t="s">
        <v>14</v>
      </c>
      <c r="C220">
        <v>247813.5</v>
      </c>
      <c r="D220">
        <v>25325271</v>
      </c>
      <c r="E220" s="14">
        <f t="shared" si="3"/>
        <v>1921.0348837209303</v>
      </c>
      <c r="F220">
        <f>WEEKNUM(Слияние1[[#This Row],[Дата]],2)</f>
        <v>19</v>
      </c>
      <c r="G220">
        <v>129</v>
      </c>
      <c r="H220">
        <v>14582</v>
      </c>
      <c r="I220">
        <v>13512</v>
      </c>
    </row>
    <row r="221" spans="1:9" x14ac:dyDescent="0.45">
      <c r="A221" s="12">
        <v>43958</v>
      </c>
      <c r="B221" s="13" t="s">
        <v>18</v>
      </c>
      <c r="C221">
        <v>12705</v>
      </c>
      <c r="D221">
        <v>1123894.5</v>
      </c>
      <c r="E221" s="14">
        <f t="shared" si="3"/>
        <v>847</v>
      </c>
      <c r="F221">
        <f>WEEKNUM(Слияние1[[#This Row],[Дата]],2)</f>
        <v>19</v>
      </c>
      <c r="G221">
        <v>15</v>
      </c>
      <c r="H221">
        <v>805</v>
      </c>
      <c r="I221">
        <v>703</v>
      </c>
    </row>
    <row r="222" spans="1:9" x14ac:dyDescent="0.45">
      <c r="A222" s="12">
        <v>43975</v>
      </c>
      <c r="B222" s="13" t="s">
        <v>14</v>
      </c>
      <c r="C222">
        <v>287740.5</v>
      </c>
      <c r="D222">
        <v>28188534</v>
      </c>
      <c r="E222" s="14">
        <f t="shared" si="3"/>
        <v>2230.546511627907</v>
      </c>
      <c r="F222">
        <f>WEEKNUM(Слияние1[[#This Row],[Дата]],2)</f>
        <v>21</v>
      </c>
      <c r="G222">
        <v>129</v>
      </c>
      <c r="H222">
        <v>16432</v>
      </c>
      <c r="I222">
        <v>15345</v>
      </c>
    </row>
    <row r="223" spans="1:9" x14ac:dyDescent="0.45">
      <c r="A223" s="12">
        <v>43958</v>
      </c>
      <c r="B223" s="13" t="s">
        <v>19</v>
      </c>
      <c r="C223">
        <v>8719.5</v>
      </c>
      <c r="D223">
        <v>769276.5</v>
      </c>
      <c r="E223" s="14">
        <f t="shared" si="3"/>
        <v>581.29999999999995</v>
      </c>
      <c r="F223">
        <f>WEEKNUM(Слияние1[[#This Row],[Дата]],2)</f>
        <v>19</v>
      </c>
      <c r="G223">
        <v>15</v>
      </c>
      <c r="H223">
        <v>480</v>
      </c>
      <c r="I223">
        <v>398</v>
      </c>
    </row>
    <row r="224" spans="1:9" x14ac:dyDescent="0.45">
      <c r="A224" s="12">
        <v>43967</v>
      </c>
      <c r="B224" s="13" t="s">
        <v>15</v>
      </c>
      <c r="C224">
        <v>408810</v>
      </c>
      <c r="D224">
        <v>42323631</v>
      </c>
      <c r="E224" s="14">
        <f t="shared" si="3"/>
        <v>3270.48</v>
      </c>
      <c r="F224">
        <f>WEEKNUM(Слияние1[[#This Row],[Дата]],2)</f>
        <v>20</v>
      </c>
      <c r="G224">
        <v>125</v>
      </c>
      <c r="H224">
        <v>22291</v>
      </c>
      <c r="I224">
        <v>20635</v>
      </c>
    </row>
    <row r="225" spans="1:9" x14ac:dyDescent="0.45">
      <c r="A225" s="12">
        <v>43958</v>
      </c>
      <c r="B225" s="13" t="s">
        <v>15</v>
      </c>
      <c r="C225">
        <v>319110</v>
      </c>
      <c r="D225">
        <v>33763989</v>
      </c>
      <c r="E225" s="14">
        <f t="shared" si="3"/>
        <v>2552.88</v>
      </c>
      <c r="F225">
        <f>WEEKNUM(Слияние1[[#This Row],[Дата]],2)</f>
        <v>19</v>
      </c>
      <c r="G225">
        <v>125</v>
      </c>
      <c r="H225">
        <v>18014</v>
      </c>
      <c r="I225">
        <v>16675</v>
      </c>
    </row>
    <row r="226" spans="1:9" x14ac:dyDescent="0.45">
      <c r="A226" s="12">
        <v>43970</v>
      </c>
      <c r="B226" s="13" t="s">
        <v>15</v>
      </c>
      <c r="C226">
        <v>362536.5</v>
      </c>
      <c r="D226">
        <v>37023243</v>
      </c>
      <c r="E226" s="14">
        <f t="shared" si="3"/>
        <v>2900.2919999999999</v>
      </c>
      <c r="F226">
        <f>WEEKNUM(Слияние1[[#This Row],[Дата]],2)</f>
        <v>21</v>
      </c>
      <c r="G226">
        <v>125</v>
      </c>
      <c r="H226">
        <v>20771</v>
      </c>
      <c r="I226">
        <v>19338</v>
      </c>
    </row>
    <row r="227" spans="1:9" x14ac:dyDescent="0.45">
      <c r="A227" s="12">
        <v>43968</v>
      </c>
      <c r="B227" s="13" t="s">
        <v>15</v>
      </c>
      <c r="C227">
        <v>357072</v>
      </c>
      <c r="D227">
        <v>36834567</v>
      </c>
      <c r="E227" s="14">
        <f t="shared" si="3"/>
        <v>2856.576</v>
      </c>
      <c r="F227">
        <f>WEEKNUM(Слияние1[[#This Row],[Дата]],2)</f>
        <v>20</v>
      </c>
      <c r="G227">
        <v>125</v>
      </c>
      <c r="H227">
        <v>20079</v>
      </c>
      <c r="I227">
        <v>18721</v>
      </c>
    </row>
    <row r="228" spans="1:9" x14ac:dyDescent="0.45">
      <c r="A228" s="12">
        <v>43960</v>
      </c>
      <c r="B228" s="13" t="s">
        <v>15</v>
      </c>
      <c r="C228">
        <v>359214</v>
      </c>
      <c r="D228">
        <v>38693427</v>
      </c>
      <c r="E228" s="14">
        <f t="shared" si="3"/>
        <v>2873.712</v>
      </c>
      <c r="F228">
        <f>WEEKNUM(Слияние1[[#This Row],[Дата]],2)</f>
        <v>19</v>
      </c>
      <c r="G228">
        <v>125</v>
      </c>
      <c r="H228">
        <v>20132</v>
      </c>
      <c r="I228">
        <v>18617</v>
      </c>
    </row>
    <row r="229" spans="1:9" x14ac:dyDescent="0.45">
      <c r="A229" s="12">
        <v>43959</v>
      </c>
      <c r="B229" s="13" t="s">
        <v>16</v>
      </c>
      <c r="C229">
        <v>61804.5</v>
      </c>
      <c r="D229">
        <v>5365708.5</v>
      </c>
      <c r="E229" s="14">
        <f t="shared" si="3"/>
        <v>1716.7916666666667</v>
      </c>
      <c r="F229">
        <f>WEEKNUM(Слияние1[[#This Row],[Дата]],2)</f>
        <v>19</v>
      </c>
      <c r="G229">
        <v>36</v>
      </c>
      <c r="H229">
        <v>4199</v>
      </c>
      <c r="I229">
        <v>3867</v>
      </c>
    </row>
    <row r="230" spans="1:9" x14ac:dyDescent="0.45">
      <c r="A230" s="12">
        <v>43959</v>
      </c>
      <c r="B230" s="13" t="s">
        <v>17</v>
      </c>
      <c r="C230">
        <v>34399.5</v>
      </c>
      <c r="D230">
        <v>3201358.5</v>
      </c>
      <c r="E230" s="14">
        <f t="shared" si="3"/>
        <v>1638.0714285714287</v>
      </c>
      <c r="F230">
        <f>WEEKNUM(Слияние1[[#This Row],[Дата]],2)</f>
        <v>19</v>
      </c>
      <c r="G230">
        <v>21</v>
      </c>
      <c r="H230">
        <v>1957</v>
      </c>
      <c r="I230">
        <v>1755</v>
      </c>
    </row>
    <row r="231" spans="1:9" x14ac:dyDescent="0.45">
      <c r="A231" s="12">
        <v>43977</v>
      </c>
      <c r="B231" s="13" t="s">
        <v>15</v>
      </c>
      <c r="C231">
        <v>369861</v>
      </c>
      <c r="D231">
        <v>38365960.5</v>
      </c>
      <c r="E231" s="14">
        <f t="shared" si="3"/>
        <v>2982.75</v>
      </c>
      <c r="F231">
        <f>WEEKNUM(Слияние1[[#This Row],[Дата]],2)</f>
        <v>22</v>
      </c>
      <c r="G231">
        <v>124</v>
      </c>
      <c r="H231">
        <v>21153</v>
      </c>
      <c r="I231">
        <v>19673</v>
      </c>
    </row>
    <row r="232" spans="1:9" x14ac:dyDescent="0.45">
      <c r="A232" s="12">
        <v>43959</v>
      </c>
      <c r="B232" s="13" t="s">
        <v>20</v>
      </c>
      <c r="C232">
        <v>25020</v>
      </c>
      <c r="D232">
        <v>2235960</v>
      </c>
      <c r="E232" s="14">
        <f t="shared" si="3"/>
        <v>1316.8421052631579</v>
      </c>
      <c r="F232">
        <f>WEEKNUM(Слияние1[[#This Row],[Дата]],2)</f>
        <v>19</v>
      </c>
      <c r="G232">
        <v>19</v>
      </c>
      <c r="H232">
        <v>1520</v>
      </c>
      <c r="I232">
        <v>1380</v>
      </c>
    </row>
    <row r="233" spans="1:9" x14ac:dyDescent="0.45">
      <c r="A233" s="12">
        <v>43959</v>
      </c>
      <c r="B233" s="13" t="s">
        <v>22</v>
      </c>
      <c r="C233">
        <v>225076.5</v>
      </c>
      <c r="D233">
        <v>22846078.5</v>
      </c>
      <c r="E233" s="14">
        <f t="shared" si="3"/>
        <v>4168.083333333333</v>
      </c>
      <c r="F233">
        <f>WEEKNUM(Слияние1[[#This Row],[Дата]],2)</f>
        <v>19</v>
      </c>
      <c r="G233">
        <v>54</v>
      </c>
      <c r="H233">
        <v>13563</v>
      </c>
      <c r="I233">
        <v>12604</v>
      </c>
    </row>
    <row r="234" spans="1:9" x14ac:dyDescent="0.45">
      <c r="A234" s="12">
        <v>43963</v>
      </c>
      <c r="B234" s="13" t="s">
        <v>15</v>
      </c>
      <c r="C234">
        <v>373392</v>
      </c>
      <c r="D234">
        <v>39578577</v>
      </c>
      <c r="E234" s="14">
        <f t="shared" si="3"/>
        <v>2987.136</v>
      </c>
      <c r="F234">
        <f>WEEKNUM(Слияние1[[#This Row],[Дата]],2)</f>
        <v>20</v>
      </c>
      <c r="G234">
        <v>125</v>
      </c>
      <c r="H234">
        <v>21106</v>
      </c>
      <c r="I234">
        <v>19651</v>
      </c>
    </row>
    <row r="235" spans="1:9" x14ac:dyDescent="0.45">
      <c r="A235" s="12">
        <v>43959</v>
      </c>
      <c r="B235" s="13" t="s">
        <v>21</v>
      </c>
      <c r="C235">
        <v>232701</v>
      </c>
      <c r="D235">
        <v>23881948.5</v>
      </c>
      <c r="E235" s="14">
        <f t="shared" si="3"/>
        <v>3944.0847457627119</v>
      </c>
      <c r="F235">
        <f>WEEKNUM(Слияние1[[#This Row],[Дата]],2)</f>
        <v>19</v>
      </c>
      <c r="G235">
        <v>59</v>
      </c>
      <c r="H235">
        <v>14098</v>
      </c>
      <c r="I235">
        <v>13106</v>
      </c>
    </row>
    <row r="236" spans="1:9" x14ac:dyDescent="0.45">
      <c r="A236" s="12">
        <v>43972</v>
      </c>
      <c r="B236" s="13" t="s">
        <v>15</v>
      </c>
      <c r="C236">
        <v>378043.5</v>
      </c>
      <c r="D236">
        <v>37902156.57</v>
      </c>
      <c r="E236" s="14">
        <f t="shared" si="3"/>
        <v>3024.348</v>
      </c>
      <c r="F236">
        <f>WEEKNUM(Слияние1[[#This Row],[Дата]],2)</f>
        <v>21</v>
      </c>
      <c r="G236">
        <v>125</v>
      </c>
      <c r="H236">
        <v>20911</v>
      </c>
      <c r="I236">
        <v>19358</v>
      </c>
    </row>
    <row r="237" spans="1:9" x14ac:dyDescent="0.45">
      <c r="A237" s="12">
        <v>43971</v>
      </c>
      <c r="B237" s="13" t="s">
        <v>15</v>
      </c>
      <c r="C237">
        <v>388668</v>
      </c>
      <c r="D237">
        <v>39639309</v>
      </c>
      <c r="E237" s="14">
        <f t="shared" si="3"/>
        <v>3109.3440000000001</v>
      </c>
      <c r="F237">
        <f>WEEKNUM(Слияние1[[#This Row],[Дата]],2)</f>
        <v>21</v>
      </c>
      <c r="G237">
        <v>125</v>
      </c>
      <c r="H237">
        <v>21674</v>
      </c>
      <c r="I237">
        <v>20155</v>
      </c>
    </row>
    <row r="238" spans="1:9" x14ac:dyDescent="0.45">
      <c r="A238" s="12">
        <v>43959</v>
      </c>
      <c r="B238" s="13" t="s">
        <v>23</v>
      </c>
      <c r="C238">
        <v>12976.5</v>
      </c>
      <c r="D238">
        <v>1046848.5</v>
      </c>
      <c r="E238" s="14">
        <f t="shared" si="3"/>
        <v>865.1</v>
      </c>
      <c r="F238">
        <f>WEEKNUM(Слияние1[[#This Row],[Дата]],2)</f>
        <v>19</v>
      </c>
      <c r="G238">
        <v>15</v>
      </c>
      <c r="H238">
        <v>703</v>
      </c>
      <c r="I238">
        <v>609</v>
      </c>
    </row>
    <row r="239" spans="1:9" x14ac:dyDescent="0.45">
      <c r="A239" s="12">
        <v>43959</v>
      </c>
      <c r="B239" s="13" t="s">
        <v>18</v>
      </c>
      <c r="C239">
        <v>14494.5</v>
      </c>
      <c r="D239">
        <v>1269786</v>
      </c>
      <c r="E239" s="14">
        <f t="shared" si="3"/>
        <v>966.3</v>
      </c>
      <c r="F239">
        <f>WEEKNUM(Слияние1[[#This Row],[Дата]],2)</f>
        <v>19</v>
      </c>
      <c r="G239">
        <v>15</v>
      </c>
      <c r="H239">
        <v>879</v>
      </c>
      <c r="I239">
        <v>768</v>
      </c>
    </row>
    <row r="240" spans="1:9" x14ac:dyDescent="0.45">
      <c r="A240" s="12">
        <v>43959</v>
      </c>
      <c r="B240" s="13" t="s">
        <v>19</v>
      </c>
      <c r="C240">
        <v>9058.5</v>
      </c>
      <c r="D240">
        <v>798759</v>
      </c>
      <c r="E240" s="14">
        <f t="shared" si="3"/>
        <v>603.9</v>
      </c>
      <c r="F240">
        <f>WEEKNUM(Слияние1[[#This Row],[Дата]],2)</f>
        <v>19</v>
      </c>
      <c r="G240">
        <v>15</v>
      </c>
      <c r="H240">
        <v>492</v>
      </c>
      <c r="I240">
        <v>412</v>
      </c>
    </row>
    <row r="241" spans="1:9" x14ac:dyDescent="0.45">
      <c r="A241" s="12">
        <v>43964</v>
      </c>
      <c r="B241" s="13" t="s">
        <v>15</v>
      </c>
      <c r="C241">
        <v>350068.5</v>
      </c>
      <c r="D241">
        <v>37197115.5</v>
      </c>
      <c r="E241" s="14">
        <f t="shared" si="3"/>
        <v>2800.5479999999998</v>
      </c>
      <c r="F241">
        <f>WEEKNUM(Слияние1[[#This Row],[Дата]],2)</f>
        <v>20</v>
      </c>
      <c r="G241">
        <v>125</v>
      </c>
      <c r="H241">
        <v>19965</v>
      </c>
      <c r="I241">
        <v>18573</v>
      </c>
    </row>
    <row r="242" spans="1:9" x14ac:dyDescent="0.45">
      <c r="A242" s="12">
        <v>43959</v>
      </c>
      <c r="B242" s="13" t="s">
        <v>15</v>
      </c>
      <c r="C242">
        <v>463530</v>
      </c>
      <c r="D242">
        <v>49123180.5</v>
      </c>
      <c r="E242" s="14">
        <f t="shared" si="3"/>
        <v>3708.24</v>
      </c>
      <c r="F242">
        <f>WEEKNUM(Слияние1[[#This Row],[Дата]],2)</f>
        <v>19</v>
      </c>
      <c r="G242">
        <v>125</v>
      </c>
      <c r="H242">
        <v>24620</v>
      </c>
      <c r="I242">
        <v>22641</v>
      </c>
    </row>
    <row r="243" spans="1:9" x14ac:dyDescent="0.45">
      <c r="A243" s="12">
        <v>43982</v>
      </c>
      <c r="B243" s="13" t="s">
        <v>14</v>
      </c>
      <c r="C243">
        <v>294337.5</v>
      </c>
      <c r="D243">
        <v>29327766</v>
      </c>
      <c r="E243" s="14">
        <f t="shared" si="3"/>
        <v>2281.6860465116279</v>
      </c>
      <c r="F243">
        <f>WEEKNUM(Слияние1[[#This Row],[Дата]],2)</f>
        <v>22</v>
      </c>
      <c r="G243">
        <v>129</v>
      </c>
      <c r="H243">
        <v>17235</v>
      </c>
      <c r="I243">
        <v>16052</v>
      </c>
    </row>
    <row r="244" spans="1:9" x14ac:dyDescent="0.45">
      <c r="A244" s="12">
        <v>43981</v>
      </c>
      <c r="B244" s="13" t="s">
        <v>14</v>
      </c>
      <c r="C244">
        <v>364882.5</v>
      </c>
      <c r="D244">
        <v>35724493.5</v>
      </c>
      <c r="E244" s="14">
        <f t="shared" si="3"/>
        <v>2828.546511627907</v>
      </c>
      <c r="F244">
        <f>WEEKNUM(Слияние1[[#This Row],[Дата]],2)</f>
        <v>22</v>
      </c>
      <c r="G244">
        <v>129</v>
      </c>
      <c r="H244">
        <v>20243</v>
      </c>
      <c r="I244">
        <v>18711</v>
      </c>
    </row>
    <row r="245" spans="1:9" x14ac:dyDescent="0.45">
      <c r="A245" s="12">
        <v>43960</v>
      </c>
      <c r="B245" s="13" t="s">
        <v>16</v>
      </c>
      <c r="C245">
        <v>83373</v>
      </c>
      <c r="D245">
        <v>7253427</v>
      </c>
      <c r="E245" s="14">
        <f t="shared" si="3"/>
        <v>2315.9166666666665</v>
      </c>
      <c r="F245">
        <f>WEEKNUM(Слияние1[[#This Row],[Дата]],2)</f>
        <v>19</v>
      </c>
      <c r="G245">
        <v>36</v>
      </c>
      <c r="H245">
        <v>5413</v>
      </c>
      <c r="I245">
        <v>4959</v>
      </c>
    </row>
    <row r="246" spans="1:9" x14ac:dyDescent="0.45">
      <c r="A246" s="12">
        <v>43974</v>
      </c>
      <c r="B246" s="13" t="s">
        <v>15</v>
      </c>
      <c r="C246">
        <v>456885</v>
      </c>
      <c r="D246">
        <v>46408080</v>
      </c>
      <c r="E246" s="14">
        <f t="shared" si="3"/>
        <v>3655.08</v>
      </c>
      <c r="F246">
        <f>WEEKNUM(Слияние1[[#This Row],[Дата]],2)</f>
        <v>21</v>
      </c>
      <c r="G246">
        <v>125</v>
      </c>
      <c r="H246">
        <v>24574</v>
      </c>
      <c r="I246">
        <v>22609</v>
      </c>
    </row>
    <row r="247" spans="1:9" x14ac:dyDescent="0.45">
      <c r="A247" s="12">
        <v>43960</v>
      </c>
      <c r="B247" s="13" t="s">
        <v>17</v>
      </c>
      <c r="C247">
        <v>32239.5</v>
      </c>
      <c r="D247">
        <v>3084892.5</v>
      </c>
      <c r="E247" s="14">
        <f t="shared" si="3"/>
        <v>1535.2142857142858</v>
      </c>
      <c r="F247">
        <f>WEEKNUM(Слияние1[[#This Row],[Дата]],2)</f>
        <v>19</v>
      </c>
      <c r="G247">
        <v>21</v>
      </c>
      <c r="H247">
        <v>1891</v>
      </c>
      <c r="I247">
        <v>1709</v>
      </c>
    </row>
    <row r="248" spans="1:9" x14ac:dyDescent="0.45">
      <c r="A248" s="12">
        <v>43979</v>
      </c>
      <c r="B248" s="13" t="s">
        <v>14</v>
      </c>
      <c r="C248">
        <v>278491.5</v>
      </c>
      <c r="D248">
        <v>28151004.75</v>
      </c>
      <c r="E248" s="14">
        <f t="shared" si="3"/>
        <v>2158.8488372093025</v>
      </c>
      <c r="F248">
        <f>WEEKNUM(Слияние1[[#This Row],[Дата]],2)</f>
        <v>22</v>
      </c>
      <c r="G248">
        <v>129</v>
      </c>
      <c r="H248">
        <v>16453</v>
      </c>
      <c r="I248">
        <v>15289</v>
      </c>
    </row>
    <row r="249" spans="1:9" x14ac:dyDescent="0.45">
      <c r="A249" s="12">
        <v>43976</v>
      </c>
      <c r="B249" s="13" t="s">
        <v>15</v>
      </c>
      <c r="C249">
        <v>349734</v>
      </c>
      <c r="D249">
        <v>36883428</v>
      </c>
      <c r="E249" s="14">
        <f t="shared" si="3"/>
        <v>2820.4354838709678</v>
      </c>
      <c r="F249">
        <f>WEEKNUM(Слияние1[[#This Row],[Дата]],2)</f>
        <v>22</v>
      </c>
      <c r="G249">
        <v>124</v>
      </c>
      <c r="H249">
        <v>20358</v>
      </c>
      <c r="I249">
        <v>18890</v>
      </c>
    </row>
    <row r="250" spans="1:9" x14ac:dyDescent="0.45">
      <c r="A250" s="12">
        <v>43960</v>
      </c>
      <c r="B250" s="13" t="s">
        <v>20</v>
      </c>
      <c r="C250">
        <v>26271</v>
      </c>
      <c r="D250">
        <v>2384937</v>
      </c>
      <c r="E250" s="14">
        <f t="shared" si="3"/>
        <v>1382.6842105263158</v>
      </c>
      <c r="F250">
        <f>WEEKNUM(Слияние1[[#This Row],[Дата]],2)</f>
        <v>19</v>
      </c>
      <c r="G250">
        <v>19</v>
      </c>
      <c r="H250">
        <v>1542</v>
      </c>
      <c r="I250">
        <v>1412</v>
      </c>
    </row>
    <row r="251" spans="1:9" x14ac:dyDescent="0.45">
      <c r="A251" s="12">
        <v>43960</v>
      </c>
      <c r="B251" s="13" t="s">
        <v>22</v>
      </c>
      <c r="C251">
        <v>177976.5</v>
      </c>
      <c r="D251">
        <v>18085798.5</v>
      </c>
      <c r="E251" s="14">
        <f t="shared" si="3"/>
        <v>3295.8611111111113</v>
      </c>
      <c r="F251">
        <f>WEEKNUM(Слияние1[[#This Row],[Дата]],2)</f>
        <v>19</v>
      </c>
      <c r="G251">
        <v>54</v>
      </c>
      <c r="H251">
        <v>11288</v>
      </c>
      <c r="I251">
        <v>10492</v>
      </c>
    </row>
    <row r="252" spans="1:9" x14ac:dyDescent="0.45">
      <c r="A252" s="12">
        <v>43961</v>
      </c>
      <c r="B252" s="13" t="s">
        <v>15</v>
      </c>
      <c r="C252">
        <v>368649</v>
      </c>
      <c r="D252">
        <v>39010875</v>
      </c>
      <c r="E252" s="14">
        <f t="shared" si="3"/>
        <v>2949.192</v>
      </c>
      <c r="F252">
        <f>WEEKNUM(Слияние1[[#This Row],[Дата]],2)</f>
        <v>19</v>
      </c>
      <c r="G252">
        <v>125</v>
      </c>
      <c r="H252">
        <v>20368</v>
      </c>
      <c r="I252">
        <v>18884</v>
      </c>
    </row>
    <row r="253" spans="1:9" x14ac:dyDescent="0.45">
      <c r="A253" s="12">
        <v>43960</v>
      </c>
      <c r="B253" s="13" t="s">
        <v>21</v>
      </c>
      <c r="C253">
        <v>188319</v>
      </c>
      <c r="D253">
        <v>19218631.5</v>
      </c>
      <c r="E253" s="14">
        <f t="shared" si="3"/>
        <v>3191.8474576271187</v>
      </c>
      <c r="F253">
        <f>WEEKNUM(Слияние1[[#This Row],[Дата]],2)</f>
        <v>19</v>
      </c>
      <c r="G253">
        <v>59</v>
      </c>
      <c r="H253">
        <v>12016</v>
      </c>
      <c r="I253">
        <v>11137</v>
      </c>
    </row>
    <row r="254" spans="1:9" x14ac:dyDescent="0.45">
      <c r="A254" s="12">
        <v>43960</v>
      </c>
      <c r="B254" s="13" t="s">
        <v>23</v>
      </c>
      <c r="C254">
        <v>11745</v>
      </c>
      <c r="D254">
        <v>955801.5</v>
      </c>
      <c r="E254" s="14">
        <f t="shared" si="3"/>
        <v>783</v>
      </c>
      <c r="F254">
        <f>WEEKNUM(Слияние1[[#This Row],[Дата]],2)</f>
        <v>19</v>
      </c>
      <c r="G254">
        <v>15</v>
      </c>
      <c r="H254">
        <v>654</v>
      </c>
      <c r="I254">
        <v>570</v>
      </c>
    </row>
    <row r="255" spans="1:9" x14ac:dyDescent="0.45">
      <c r="A255" s="12">
        <v>43975</v>
      </c>
      <c r="B255" s="13" t="s">
        <v>15</v>
      </c>
      <c r="C255">
        <v>375744</v>
      </c>
      <c r="D255">
        <v>38191381.5</v>
      </c>
      <c r="E255" s="14">
        <f t="shared" si="3"/>
        <v>3005.9520000000002</v>
      </c>
      <c r="F255">
        <f>WEEKNUM(Слияние1[[#This Row],[Дата]],2)</f>
        <v>21</v>
      </c>
      <c r="G255">
        <v>125</v>
      </c>
      <c r="H255">
        <v>21004</v>
      </c>
      <c r="I255">
        <v>19556</v>
      </c>
    </row>
    <row r="256" spans="1:9" x14ac:dyDescent="0.45">
      <c r="A256" s="12">
        <v>43960</v>
      </c>
      <c r="B256" s="13" t="s">
        <v>18</v>
      </c>
      <c r="C256">
        <v>13948.5</v>
      </c>
      <c r="D256">
        <v>1222932</v>
      </c>
      <c r="E256" s="14">
        <f t="shared" si="3"/>
        <v>929.9</v>
      </c>
      <c r="F256">
        <f>WEEKNUM(Слияние1[[#This Row],[Дата]],2)</f>
        <v>19</v>
      </c>
      <c r="G256">
        <v>15</v>
      </c>
      <c r="H256">
        <v>849</v>
      </c>
      <c r="I256">
        <v>740</v>
      </c>
    </row>
    <row r="257" spans="1:9" x14ac:dyDescent="0.45">
      <c r="A257" s="12">
        <v>43967</v>
      </c>
      <c r="B257" s="13" t="s">
        <v>16</v>
      </c>
      <c r="C257">
        <v>81331.5</v>
      </c>
      <c r="D257">
        <v>6652179</v>
      </c>
      <c r="E257" s="14">
        <f t="shared" si="3"/>
        <v>2259.2083333333335</v>
      </c>
      <c r="F257">
        <f>WEEKNUM(Слияние1[[#This Row],[Дата]],2)</f>
        <v>20</v>
      </c>
      <c r="G257">
        <v>36</v>
      </c>
      <c r="H257">
        <v>5286</v>
      </c>
      <c r="I257">
        <v>4867</v>
      </c>
    </row>
    <row r="258" spans="1:9" x14ac:dyDescent="0.45">
      <c r="A258" s="12">
        <v>43960</v>
      </c>
      <c r="B258" s="13" t="s">
        <v>19</v>
      </c>
      <c r="C258">
        <v>12037.5</v>
      </c>
      <c r="D258">
        <v>1081216.5</v>
      </c>
      <c r="E258" s="14">
        <f t="shared" si="3"/>
        <v>802.5</v>
      </c>
      <c r="F258">
        <f>WEEKNUM(Слияние1[[#This Row],[Дата]],2)</f>
        <v>19</v>
      </c>
      <c r="G258">
        <v>15</v>
      </c>
      <c r="H258">
        <v>623</v>
      </c>
      <c r="I258">
        <v>535</v>
      </c>
    </row>
    <row r="259" spans="1:9" x14ac:dyDescent="0.45">
      <c r="A259" s="12">
        <v>43970</v>
      </c>
      <c r="B259" s="13" t="s">
        <v>16</v>
      </c>
      <c r="C259">
        <v>75796.5</v>
      </c>
      <c r="D259">
        <v>6173463</v>
      </c>
      <c r="E259" s="14">
        <f t="shared" ref="E259:E322" si="4">C259/G259</f>
        <v>2105.4583333333335</v>
      </c>
      <c r="F259">
        <f>WEEKNUM(Слияние1[[#This Row],[Дата]],2)</f>
        <v>21</v>
      </c>
      <c r="G259">
        <v>36</v>
      </c>
      <c r="H259">
        <v>5094</v>
      </c>
      <c r="I259">
        <v>4716</v>
      </c>
    </row>
    <row r="260" spans="1:9" x14ac:dyDescent="0.45">
      <c r="A260" s="12">
        <v>43968</v>
      </c>
      <c r="B260" s="13" t="s">
        <v>16</v>
      </c>
      <c r="C260">
        <v>72861</v>
      </c>
      <c r="D260">
        <v>5952802.5</v>
      </c>
      <c r="E260" s="14">
        <f t="shared" si="4"/>
        <v>2023.9166666666667</v>
      </c>
      <c r="F260">
        <f>WEEKNUM(Слияние1[[#This Row],[Дата]],2)</f>
        <v>20</v>
      </c>
      <c r="G260">
        <v>36</v>
      </c>
      <c r="H260">
        <v>4918</v>
      </c>
      <c r="I260">
        <v>4554</v>
      </c>
    </row>
    <row r="261" spans="1:9" x14ac:dyDescent="0.45">
      <c r="A261" s="12">
        <v>43961</v>
      </c>
      <c r="B261" s="13" t="s">
        <v>16</v>
      </c>
      <c r="C261">
        <v>88311</v>
      </c>
      <c r="D261">
        <v>7726069.5</v>
      </c>
      <c r="E261" s="14">
        <f t="shared" si="4"/>
        <v>2453.0833333333335</v>
      </c>
      <c r="F261">
        <f>WEEKNUM(Слияние1[[#This Row],[Дата]],2)</f>
        <v>19</v>
      </c>
      <c r="G261">
        <v>36</v>
      </c>
      <c r="H261">
        <v>5746</v>
      </c>
      <c r="I261">
        <v>5277</v>
      </c>
    </row>
    <row r="262" spans="1:9" x14ac:dyDescent="0.45">
      <c r="A262" s="12">
        <v>43961</v>
      </c>
      <c r="B262" s="13" t="s">
        <v>17</v>
      </c>
      <c r="C262">
        <v>37489.5</v>
      </c>
      <c r="D262">
        <v>3549097.5</v>
      </c>
      <c r="E262" s="14">
        <f t="shared" si="4"/>
        <v>1785.2142857142858</v>
      </c>
      <c r="F262">
        <f>WEEKNUM(Слияние1[[#This Row],[Дата]],2)</f>
        <v>19</v>
      </c>
      <c r="G262">
        <v>21</v>
      </c>
      <c r="H262">
        <v>2120</v>
      </c>
      <c r="I262">
        <v>1921</v>
      </c>
    </row>
    <row r="263" spans="1:9" x14ac:dyDescent="0.45">
      <c r="A263" s="12">
        <v>43977</v>
      </c>
      <c r="B263" s="13" t="s">
        <v>16</v>
      </c>
      <c r="C263">
        <v>67726.5</v>
      </c>
      <c r="D263">
        <v>5864989.5</v>
      </c>
      <c r="E263" s="14">
        <f t="shared" si="4"/>
        <v>1881.2916666666667</v>
      </c>
      <c r="F263">
        <f>WEEKNUM(Слияние1[[#This Row],[Дата]],2)</f>
        <v>22</v>
      </c>
      <c r="G263">
        <v>36</v>
      </c>
      <c r="H263">
        <v>4770</v>
      </c>
      <c r="I263">
        <v>4424</v>
      </c>
    </row>
    <row r="264" spans="1:9" x14ac:dyDescent="0.45">
      <c r="A264" s="12">
        <v>43961</v>
      </c>
      <c r="B264" s="13" t="s">
        <v>20</v>
      </c>
      <c r="C264">
        <v>31224</v>
      </c>
      <c r="D264">
        <v>2767270.5</v>
      </c>
      <c r="E264" s="14">
        <f t="shared" si="4"/>
        <v>1643.3684210526317</v>
      </c>
      <c r="F264">
        <f>WEEKNUM(Слияние1[[#This Row],[Дата]],2)</f>
        <v>19</v>
      </c>
      <c r="G264">
        <v>19</v>
      </c>
      <c r="H264">
        <v>1836</v>
      </c>
      <c r="I264">
        <v>1680</v>
      </c>
    </row>
    <row r="265" spans="1:9" x14ac:dyDescent="0.45">
      <c r="A265" s="12">
        <v>43963</v>
      </c>
      <c r="B265" s="13" t="s">
        <v>16</v>
      </c>
      <c r="C265">
        <v>64390.5</v>
      </c>
      <c r="D265">
        <v>5523145.5</v>
      </c>
      <c r="E265" s="14">
        <f t="shared" si="4"/>
        <v>1788.625</v>
      </c>
      <c r="F265">
        <f>WEEKNUM(Слияние1[[#This Row],[Дата]],2)</f>
        <v>20</v>
      </c>
      <c r="G265">
        <v>36</v>
      </c>
      <c r="H265">
        <v>4418</v>
      </c>
      <c r="I265">
        <v>4088</v>
      </c>
    </row>
    <row r="266" spans="1:9" x14ac:dyDescent="0.45">
      <c r="A266" s="12">
        <v>43961</v>
      </c>
      <c r="B266" s="13" t="s">
        <v>22</v>
      </c>
      <c r="C266">
        <v>231559.5</v>
      </c>
      <c r="D266">
        <v>23443725</v>
      </c>
      <c r="E266" s="14">
        <f t="shared" si="4"/>
        <v>4288.1388888888887</v>
      </c>
      <c r="F266">
        <f>WEEKNUM(Слияние1[[#This Row],[Дата]],2)</f>
        <v>19</v>
      </c>
      <c r="G266">
        <v>54</v>
      </c>
      <c r="H266">
        <v>13832</v>
      </c>
      <c r="I266">
        <v>12864</v>
      </c>
    </row>
    <row r="267" spans="1:9" x14ac:dyDescent="0.45">
      <c r="A267" s="12">
        <v>43972</v>
      </c>
      <c r="B267" s="13" t="s">
        <v>16</v>
      </c>
      <c r="C267">
        <v>73126.5</v>
      </c>
      <c r="D267">
        <v>5864085</v>
      </c>
      <c r="E267" s="14">
        <f t="shared" si="4"/>
        <v>2031.2916666666667</v>
      </c>
      <c r="F267">
        <f>WEEKNUM(Слияние1[[#This Row],[Дата]],2)</f>
        <v>21</v>
      </c>
      <c r="G267">
        <v>36</v>
      </c>
      <c r="H267">
        <v>4816</v>
      </c>
      <c r="I267">
        <v>4452</v>
      </c>
    </row>
    <row r="268" spans="1:9" x14ac:dyDescent="0.45">
      <c r="A268" s="12">
        <v>43961</v>
      </c>
      <c r="B268" s="13" t="s">
        <v>21</v>
      </c>
      <c r="C268">
        <v>243825</v>
      </c>
      <c r="D268">
        <v>24890404.5</v>
      </c>
      <c r="E268" s="14">
        <f t="shared" si="4"/>
        <v>4132.6271186440681</v>
      </c>
      <c r="F268">
        <f>WEEKNUM(Слияние1[[#This Row],[Дата]],2)</f>
        <v>19</v>
      </c>
      <c r="G268">
        <v>59</v>
      </c>
      <c r="H268">
        <v>14569</v>
      </c>
      <c r="I268">
        <v>13566</v>
      </c>
    </row>
    <row r="269" spans="1:9" x14ac:dyDescent="0.45">
      <c r="A269" s="12">
        <v>43971</v>
      </c>
      <c r="B269" s="13" t="s">
        <v>16</v>
      </c>
      <c r="C269">
        <v>99631.5</v>
      </c>
      <c r="D269">
        <v>7121946</v>
      </c>
      <c r="E269" s="14">
        <f t="shared" si="4"/>
        <v>2767.5416666666665</v>
      </c>
      <c r="F269">
        <f>WEEKNUM(Слияние1[[#This Row],[Дата]],2)</f>
        <v>21</v>
      </c>
      <c r="G269">
        <v>36</v>
      </c>
      <c r="H269">
        <v>5914</v>
      </c>
      <c r="I269">
        <v>5384</v>
      </c>
    </row>
    <row r="270" spans="1:9" x14ac:dyDescent="0.45">
      <c r="A270" s="12">
        <v>43961</v>
      </c>
      <c r="B270" s="13" t="s">
        <v>23</v>
      </c>
      <c r="C270">
        <v>14566.5</v>
      </c>
      <c r="D270">
        <v>1216557</v>
      </c>
      <c r="E270" s="14">
        <f t="shared" si="4"/>
        <v>971.1</v>
      </c>
      <c r="F270">
        <f>WEEKNUM(Слияние1[[#This Row],[Дата]],2)</f>
        <v>19</v>
      </c>
      <c r="G270">
        <v>15</v>
      </c>
      <c r="H270">
        <v>792</v>
      </c>
      <c r="I270">
        <v>695</v>
      </c>
    </row>
    <row r="271" spans="1:9" x14ac:dyDescent="0.45">
      <c r="A271" s="12">
        <v>43961</v>
      </c>
      <c r="B271" s="13" t="s">
        <v>18</v>
      </c>
      <c r="C271">
        <v>16435.5</v>
      </c>
      <c r="D271">
        <v>1471537.5</v>
      </c>
      <c r="E271" s="14">
        <f t="shared" si="4"/>
        <v>1095.7</v>
      </c>
      <c r="F271">
        <f>WEEKNUM(Слияние1[[#This Row],[Дата]],2)</f>
        <v>19</v>
      </c>
      <c r="G271">
        <v>15</v>
      </c>
      <c r="H271">
        <v>950</v>
      </c>
      <c r="I271">
        <v>848</v>
      </c>
    </row>
    <row r="272" spans="1:9" x14ac:dyDescent="0.45">
      <c r="A272" s="12">
        <v>43964</v>
      </c>
      <c r="B272" s="13" t="s">
        <v>16</v>
      </c>
      <c r="C272">
        <v>73062</v>
      </c>
      <c r="D272">
        <v>6333828</v>
      </c>
      <c r="E272" s="14">
        <f t="shared" si="4"/>
        <v>2029.5</v>
      </c>
      <c r="F272">
        <f>WEEKNUM(Слияние1[[#This Row],[Дата]],2)</f>
        <v>20</v>
      </c>
      <c r="G272">
        <v>36</v>
      </c>
      <c r="H272">
        <v>4967</v>
      </c>
      <c r="I272">
        <v>4583</v>
      </c>
    </row>
    <row r="273" spans="1:9" x14ac:dyDescent="0.45">
      <c r="A273" s="12">
        <v>43961</v>
      </c>
      <c r="B273" s="13" t="s">
        <v>19</v>
      </c>
      <c r="C273">
        <v>13440</v>
      </c>
      <c r="D273">
        <v>1198285.5</v>
      </c>
      <c r="E273" s="14">
        <f t="shared" si="4"/>
        <v>896</v>
      </c>
      <c r="F273">
        <f>WEEKNUM(Слияние1[[#This Row],[Дата]],2)</f>
        <v>19</v>
      </c>
      <c r="G273">
        <v>15</v>
      </c>
      <c r="H273">
        <v>706</v>
      </c>
      <c r="I273">
        <v>608</v>
      </c>
    </row>
    <row r="274" spans="1:9" x14ac:dyDescent="0.45">
      <c r="A274" s="12">
        <v>43982</v>
      </c>
      <c r="B274" s="13" t="s">
        <v>15</v>
      </c>
      <c r="C274">
        <v>379663.5</v>
      </c>
      <c r="D274">
        <v>39380178</v>
      </c>
      <c r="E274" s="14">
        <f t="shared" si="4"/>
        <v>3061.8024193548385</v>
      </c>
      <c r="F274">
        <f>WEEKNUM(Слияние1[[#This Row],[Дата]],2)</f>
        <v>22</v>
      </c>
      <c r="G274">
        <v>124</v>
      </c>
      <c r="H274">
        <v>21392</v>
      </c>
      <c r="I274">
        <v>19869</v>
      </c>
    </row>
    <row r="275" spans="1:9" x14ac:dyDescent="0.45">
      <c r="A275" s="12">
        <v>43981</v>
      </c>
      <c r="B275" s="13" t="s">
        <v>15</v>
      </c>
      <c r="C275">
        <v>453123</v>
      </c>
      <c r="D275">
        <v>46370904</v>
      </c>
      <c r="E275" s="14">
        <f t="shared" si="4"/>
        <v>3654.2177419354839</v>
      </c>
      <c r="F275">
        <f>WEEKNUM(Слияние1[[#This Row],[Дата]],2)</f>
        <v>22</v>
      </c>
      <c r="G275">
        <v>124</v>
      </c>
      <c r="H275">
        <v>24325</v>
      </c>
      <c r="I275">
        <v>22469</v>
      </c>
    </row>
    <row r="276" spans="1:9" x14ac:dyDescent="0.45">
      <c r="A276" s="12">
        <v>43962</v>
      </c>
      <c r="B276" s="13" t="s">
        <v>16</v>
      </c>
      <c r="C276">
        <v>59574</v>
      </c>
      <c r="D276">
        <v>5178169.5</v>
      </c>
      <c r="E276" s="14">
        <f t="shared" si="4"/>
        <v>1654.8333333333333</v>
      </c>
      <c r="F276">
        <f>WEEKNUM(Слияние1[[#This Row],[Дата]],2)</f>
        <v>20</v>
      </c>
      <c r="G276">
        <v>36</v>
      </c>
      <c r="H276">
        <v>4150</v>
      </c>
      <c r="I276">
        <v>3838</v>
      </c>
    </row>
    <row r="277" spans="1:9" x14ac:dyDescent="0.45">
      <c r="A277" s="12">
        <v>43974</v>
      </c>
      <c r="B277" s="13" t="s">
        <v>16</v>
      </c>
      <c r="C277">
        <v>89556</v>
      </c>
      <c r="D277">
        <v>7173117</v>
      </c>
      <c r="E277" s="14">
        <f t="shared" si="4"/>
        <v>2487.6666666666665</v>
      </c>
      <c r="F277">
        <f>WEEKNUM(Слияние1[[#This Row],[Дата]],2)</f>
        <v>21</v>
      </c>
      <c r="G277">
        <v>36</v>
      </c>
      <c r="H277">
        <v>5651</v>
      </c>
      <c r="I277">
        <v>5212</v>
      </c>
    </row>
    <row r="278" spans="1:9" x14ac:dyDescent="0.45">
      <c r="A278" s="12">
        <v>43962</v>
      </c>
      <c r="B278" s="13" t="s">
        <v>11</v>
      </c>
      <c r="C278">
        <v>72220.5</v>
      </c>
      <c r="D278">
        <v>6398719.5</v>
      </c>
      <c r="E278" s="14">
        <f t="shared" si="4"/>
        <v>2329.6935483870966</v>
      </c>
      <c r="F278">
        <f>WEEKNUM(Слияние1[[#This Row],[Дата]],2)</f>
        <v>20</v>
      </c>
      <c r="G278">
        <v>31</v>
      </c>
      <c r="H278">
        <v>4826</v>
      </c>
      <c r="I278">
        <v>4483</v>
      </c>
    </row>
    <row r="279" spans="1:9" x14ac:dyDescent="0.45">
      <c r="A279" s="12">
        <v>43979</v>
      </c>
      <c r="B279" s="13" t="s">
        <v>15</v>
      </c>
      <c r="C279">
        <v>364638</v>
      </c>
      <c r="D279">
        <v>37947688.5</v>
      </c>
      <c r="E279" s="14">
        <f t="shared" si="4"/>
        <v>2940.6290322580644</v>
      </c>
      <c r="F279">
        <f>WEEKNUM(Слияние1[[#This Row],[Дата]],2)</f>
        <v>22</v>
      </c>
      <c r="G279">
        <v>124</v>
      </c>
      <c r="H279">
        <v>20868</v>
      </c>
      <c r="I279">
        <v>19342</v>
      </c>
    </row>
    <row r="280" spans="1:9" x14ac:dyDescent="0.45">
      <c r="A280" s="12">
        <v>43962</v>
      </c>
      <c r="B280" s="13" t="s">
        <v>17</v>
      </c>
      <c r="C280">
        <v>32733</v>
      </c>
      <c r="D280">
        <v>3079630.5</v>
      </c>
      <c r="E280" s="14">
        <f t="shared" si="4"/>
        <v>1558.7142857142858</v>
      </c>
      <c r="F280">
        <f>WEEKNUM(Слияние1[[#This Row],[Дата]],2)</f>
        <v>20</v>
      </c>
      <c r="G280">
        <v>21</v>
      </c>
      <c r="H280">
        <v>1916</v>
      </c>
      <c r="I280">
        <v>1733</v>
      </c>
    </row>
    <row r="281" spans="1:9" x14ac:dyDescent="0.45">
      <c r="A281" s="12">
        <v>43976</v>
      </c>
      <c r="B281" s="13" t="s">
        <v>16</v>
      </c>
      <c r="C281">
        <v>66316.5</v>
      </c>
      <c r="D281">
        <v>5704650</v>
      </c>
      <c r="E281" s="14">
        <f t="shared" si="4"/>
        <v>1842.125</v>
      </c>
      <c r="F281">
        <f>WEEKNUM(Слияние1[[#This Row],[Дата]],2)</f>
        <v>22</v>
      </c>
      <c r="G281">
        <v>36</v>
      </c>
      <c r="H281">
        <v>4641</v>
      </c>
      <c r="I281">
        <v>4274</v>
      </c>
    </row>
    <row r="282" spans="1:9" x14ac:dyDescent="0.45">
      <c r="A282" s="12">
        <v>43962</v>
      </c>
      <c r="B282" s="13" t="s">
        <v>10</v>
      </c>
      <c r="C282">
        <v>27187.5</v>
      </c>
      <c r="D282">
        <v>2479396.5</v>
      </c>
      <c r="E282" s="14">
        <f t="shared" si="4"/>
        <v>1294.6428571428571</v>
      </c>
      <c r="F282">
        <f>WEEKNUM(Слияние1[[#This Row],[Дата]],2)</f>
        <v>20</v>
      </c>
      <c r="G282">
        <v>21</v>
      </c>
      <c r="H282">
        <v>1597</v>
      </c>
      <c r="I282">
        <v>1457</v>
      </c>
    </row>
    <row r="283" spans="1:9" x14ac:dyDescent="0.45">
      <c r="A283" s="12">
        <v>43962</v>
      </c>
      <c r="B283" s="13" t="s">
        <v>20</v>
      </c>
      <c r="C283">
        <v>23629.5</v>
      </c>
      <c r="D283">
        <v>2164365</v>
      </c>
      <c r="E283" s="14">
        <f t="shared" si="4"/>
        <v>1243.6578947368421</v>
      </c>
      <c r="F283">
        <f>WEEKNUM(Слияние1[[#This Row],[Дата]],2)</f>
        <v>20</v>
      </c>
      <c r="G283">
        <v>19</v>
      </c>
      <c r="H283">
        <v>1527</v>
      </c>
      <c r="I283">
        <v>1389</v>
      </c>
    </row>
    <row r="284" spans="1:9" x14ac:dyDescent="0.45">
      <c r="A284" s="12">
        <v>43962</v>
      </c>
      <c r="B284" s="13" t="s">
        <v>22</v>
      </c>
      <c r="C284">
        <v>166948.5</v>
      </c>
      <c r="D284">
        <v>16971231</v>
      </c>
      <c r="E284" s="14">
        <f t="shared" si="4"/>
        <v>3091.6388888888887</v>
      </c>
      <c r="F284">
        <f>WEEKNUM(Слияние1[[#This Row],[Дата]],2)</f>
        <v>20</v>
      </c>
      <c r="G284">
        <v>54</v>
      </c>
      <c r="H284">
        <v>10570</v>
      </c>
      <c r="I284">
        <v>9926</v>
      </c>
    </row>
    <row r="285" spans="1:9" x14ac:dyDescent="0.45">
      <c r="A285" s="12">
        <v>43962</v>
      </c>
      <c r="B285" s="13" t="s">
        <v>21</v>
      </c>
      <c r="C285">
        <v>175293</v>
      </c>
      <c r="D285">
        <v>17919144</v>
      </c>
      <c r="E285" s="14">
        <f t="shared" si="4"/>
        <v>2921.55</v>
      </c>
      <c r="F285">
        <f>WEEKNUM(Слияние1[[#This Row],[Дата]],2)</f>
        <v>20</v>
      </c>
      <c r="G285">
        <v>60</v>
      </c>
      <c r="H285">
        <v>11100</v>
      </c>
      <c r="I285">
        <v>10407</v>
      </c>
    </row>
    <row r="286" spans="1:9" x14ac:dyDescent="0.45">
      <c r="A286" s="12">
        <v>43962</v>
      </c>
      <c r="B286" s="13" t="s">
        <v>13</v>
      </c>
      <c r="C286">
        <v>42397.5</v>
      </c>
      <c r="D286">
        <v>3911979</v>
      </c>
      <c r="E286" s="14">
        <f t="shared" si="4"/>
        <v>2231.4473684210525</v>
      </c>
      <c r="F286">
        <f>WEEKNUM(Слияние1[[#This Row],[Дата]],2)</f>
        <v>20</v>
      </c>
      <c r="G286">
        <v>19</v>
      </c>
      <c r="H286">
        <v>2530</v>
      </c>
      <c r="I286">
        <v>2270</v>
      </c>
    </row>
    <row r="287" spans="1:9" x14ac:dyDescent="0.45">
      <c r="A287" s="12">
        <v>43975</v>
      </c>
      <c r="B287" s="13" t="s">
        <v>16</v>
      </c>
      <c r="C287">
        <v>74649</v>
      </c>
      <c r="D287">
        <v>6098236.5</v>
      </c>
      <c r="E287" s="14">
        <f t="shared" si="4"/>
        <v>2073.5833333333335</v>
      </c>
      <c r="F287">
        <f>WEEKNUM(Слияние1[[#This Row],[Дата]],2)</f>
        <v>21</v>
      </c>
      <c r="G287">
        <v>36</v>
      </c>
      <c r="H287">
        <v>4915</v>
      </c>
      <c r="I287">
        <v>4562</v>
      </c>
    </row>
    <row r="288" spans="1:9" x14ac:dyDescent="0.45">
      <c r="A288" s="12">
        <v>43962</v>
      </c>
      <c r="B288" s="13" t="s">
        <v>23</v>
      </c>
      <c r="C288">
        <v>10941</v>
      </c>
      <c r="D288">
        <v>880356</v>
      </c>
      <c r="E288" s="14">
        <f t="shared" si="4"/>
        <v>729.4</v>
      </c>
      <c r="F288">
        <f>WEEKNUM(Слияние1[[#This Row],[Дата]],2)</f>
        <v>20</v>
      </c>
      <c r="G288">
        <v>15</v>
      </c>
      <c r="H288">
        <v>654</v>
      </c>
      <c r="I288">
        <v>564</v>
      </c>
    </row>
    <row r="289" spans="1:9" x14ac:dyDescent="0.45">
      <c r="A289" s="12">
        <v>43967</v>
      </c>
      <c r="B289" s="13" t="s">
        <v>17</v>
      </c>
      <c r="C289">
        <v>44560.5</v>
      </c>
      <c r="D289">
        <v>4025148</v>
      </c>
      <c r="E289" s="14">
        <f t="shared" si="4"/>
        <v>2121.9285714285716</v>
      </c>
      <c r="F289">
        <f>WEEKNUM(Слияние1[[#This Row],[Дата]],2)</f>
        <v>20</v>
      </c>
      <c r="G289">
        <v>21</v>
      </c>
      <c r="H289">
        <v>2427</v>
      </c>
      <c r="I289">
        <v>2213</v>
      </c>
    </row>
    <row r="290" spans="1:9" x14ac:dyDescent="0.45">
      <c r="A290" s="12">
        <v>43962</v>
      </c>
      <c r="B290" s="13" t="s">
        <v>18</v>
      </c>
      <c r="C290">
        <v>12238.5</v>
      </c>
      <c r="D290">
        <v>1096002</v>
      </c>
      <c r="E290" s="14">
        <f t="shared" si="4"/>
        <v>815.9</v>
      </c>
      <c r="F290">
        <f>WEEKNUM(Слияние1[[#This Row],[Дата]],2)</f>
        <v>20</v>
      </c>
      <c r="G290">
        <v>15</v>
      </c>
      <c r="H290">
        <v>812</v>
      </c>
      <c r="I290">
        <v>714</v>
      </c>
    </row>
    <row r="291" spans="1:9" x14ac:dyDescent="0.45">
      <c r="A291" s="12">
        <v>43970</v>
      </c>
      <c r="B291" s="13" t="s">
        <v>17</v>
      </c>
      <c r="C291">
        <v>38250</v>
      </c>
      <c r="D291">
        <v>3552937.5</v>
      </c>
      <c r="E291" s="14">
        <f t="shared" si="4"/>
        <v>1821.4285714285713</v>
      </c>
      <c r="F291">
        <f>WEEKNUM(Слияние1[[#This Row],[Дата]],2)</f>
        <v>21</v>
      </c>
      <c r="G291">
        <v>21</v>
      </c>
      <c r="H291">
        <v>2245</v>
      </c>
      <c r="I291">
        <v>2053</v>
      </c>
    </row>
    <row r="292" spans="1:9" x14ac:dyDescent="0.45">
      <c r="A292" s="12">
        <v>43962</v>
      </c>
      <c r="B292" s="13" t="s">
        <v>19</v>
      </c>
      <c r="C292">
        <v>12654</v>
      </c>
      <c r="D292">
        <v>1081158</v>
      </c>
      <c r="E292" s="14">
        <f t="shared" si="4"/>
        <v>843.6</v>
      </c>
      <c r="F292">
        <f>WEEKNUM(Слияние1[[#This Row],[Дата]],2)</f>
        <v>20</v>
      </c>
      <c r="G292">
        <v>15</v>
      </c>
      <c r="H292">
        <v>684</v>
      </c>
      <c r="I292">
        <v>585</v>
      </c>
    </row>
    <row r="293" spans="1:9" x14ac:dyDescent="0.45">
      <c r="A293" s="12">
        <v>43968</v>
      </c>
      <c r="B293" s="13" t="s">
        <v>17</v>
      </c>
      <c r="C293">
        <v>34830</v>
      </c>
      <c r="D293">
        <v>3191155.5</v>
      </c>
      <c r="E293" s="14">
        <f t="shared" si="4"/>
        <v>1658.5714285714287</v>
      </c>
      <c r="F293">
        <f>WEEKNUM(Слияние1[[#This Row],[Дата]],2)</f>
        <v>20</v>
      </c>
      <c r="G293">
        <v>21</v>
      </c>
      <c r="H293">
        <v>2054</v>
      </c>
      <c r="I293">
        <v>1883</v>
      </c>
    </row>
    <row r="294" spans="1:9" x14ac:dyDescent="0.45">
      <c r="A294" s="12">
        <v>43962</v>
      </c>
      <c r="B294" s="13" t="s">
        <v>15</v>
      </c>
      <c r="C294">
        <v>318565.5</v>
      </c>
      <c r="D294">
        <v>33781581</v>
      </c>
      <c r="E294" s="14">
        <f t="shared" si="4"/>
        <v>2548.5239999999999</v>
      </c>
      <c r="F294">
        <f>WEEKNUM(Слияние1[[#This Row],[Дата]],2)</f>
        <v>20</v>
      </c>
      <c r="G294">
        <v>125</v>
      </c>
      <c r="H294">
        <v>18066</v>
      </c>
      <c r="I294">
        <v>16883</v>
      </c>
    </row>
    <row r="295" spans="1:9" x14ac:dyDescent="0.45">
      <c r="A295" s="12">
        <v>43962</v>
      </c>
      <c r="B295" s="13" t="s">
        <v>14</v>
      </c>
      <c r="C295">
        <v>237099</v>
      </c>
      <c r="D295">
        <v>24628233.223949999</v>
      </c>
      <c r="E295" s="14">
        <f t="shared" si="4"/>
        <v>1837.9767441860465</v>
      </c>
      <c r="F295">
        <f>WEEKNUM(Слияние1[[#This Row],[Дата]],2)</f>
        <v>20</v>
      </c>
      <c r="G295">
        <v>129</v>
      </c>
      <c r="H295">
        <v>14043</v>
      </c>
      <c r="I295">
        <v>13167</v>
      </c>
    </row>
    <row r="296" spans="1:9" x14ac:dyDescent="0.45">
      <c r="A296" s="12">
        <v>43962</v>
      </c>
      <c r="B296" s="13" t="s">
        <v>12</v>
      </c>
      <c r="C296">
        <v>9007.5</v>
      </c>
      <c r="D296">
        <v>734335.5</v>
      </c>
      <c r="E296" s="14">
        <f t="shared" si="4"/>
        <v>900.75</v>
      </c>
      <c r="F296">
        <f>WEEKNUM(Слияние1[[#This Row],[Дата]],2)</f>
        <v>20</v>
      </c>
      <c r="G296">
        <v>10</v>
      </c>
      <c r="H296">
        <v>494</v>
      </c>
      <c r="I296">
        <v>421</v>
      </c>
    </row>
    <row r="297" spans="1:9" x14ac:dyDescent="0.45">
      <c r="A297" s="12">
        <v>43977</v>
      </c>
      <c r="B297" s="13" t="s">
        <v>17</v>
      </c>
      <c r="C297">
        <v>40744.5</v>
      </c>
      <c r="D297">
        <v>3700311</v>
      </c>
      <c r="E297" s="14">
        <f t="shared" si="4"/>
        <v>1940.2142857142858</v>
      </c>
      <c r="F297">
        <f>WEEKNUM(Слияние1[[#This Row],[Дата]],2)</f>
        <v>22</v>
      </c>
      <c r="G297">
        <v>21</v>
      </c>
      <c r="H297">
        <v>2418</v>
      </c>
      <c r="I297">
        <v>2215</v>
      </c>
    </row>
    <row r="298" spans="1:9" x14ac:dyDescent="0.45">
      <c r="A298" s="12">
        <v>43963</v>
      </c>
      <c r="B298" s="13" t="s">
        <v>17</v>
      </c>
      <c r="C298">
        <v>32419.5</v>
      </c>
      <c r="D298">
        <v>3080614.5</v>
      </c>
      <c r="E298" s="14">
        <f t="shared" si="4"/>
        <v>1543.7857142857142</v>
      </c>
      <c r="F298">
        <f>WEEKNUM(Слияние1[[#This Row],[Дата]],2)</f>
        <v>20</v>
      </c>
      <c r="G298">
        <v>21</v>
      </c>
      <c r="H298">
        <v>1926</v>
      </c>
      <c r="I298">
        <v>1745</v>
      </c>
    </row>
    <row r="299" spans="1:9" x14ac:dyDescent="0.45">
      <c r="A299" s="12">
        <v>43963</v>
      </c>
      <c r="B299" s="13" t="s">
        <v>20</v>
      </c>
      <c r="C299">
        <v>25483.5</v>
      </c>
      <c r="D299">
        <v>2243160</v>
      </c>
      <c r="E299" s="14">
        <f t="shared" si="4"/>
        <v>1341.2368421052631</v>
      </c>
      <c r="F299">
        <f>WEEKNUM(Слияние1[[#This Row],[Дата]],2)</f>
        <v>20</v>
      </c>
      <c r="G299">
        <v>19</v>
      </c>
      <c r="H299">
        <v>1598</v>
      </c>
      <c r="I299">
        <v>1454</v>
      </c>
    </row>
    <row r="300" spans="1:9" x14ac:dyDescent="0.45">
      <c r="A300" s="12">
        <v>43972</v>
      </c>
      <c r="B300" s="13" t="s">
        <v>17</v>
      </c>
      <c r="C300">
        <v>40819.5</v>
      </c>
      <c r="D300">
        <v>3810394.5</v>
      </c>
      <c r="E300" s="14">
        <f t="shared" si="4"/>
        <v>1943.7857142857142</v>
      </c>
      <c r="F300">
        <f>WEEKNUM(Слияние1[[#This Row],[Дата]],2)</f>
        <v>21</v>
      </c>
      <c r="G300">
        <v>21</v>
      </c>
      <c r="H300">
        <v>2335</v>
      </c>
      <c r="I300">
        <v>2126</v>
      </c>
    </row>
    <row r="301" spans="1:9" x14ac:dyDescent="0.45">
      <c r="A301" s="12">
        <v>43963</v>
      </c>
      <c r="B301" s="13" t="s">
        <v>22</v>
      </c>
      <c r="C301">
        <v>189679.5</v>
      </c>
      <c r="D301">
        <v>18718036.5</v>
      </c>
      <c r="E301" s="14">
        <f t="shared" si="4"/>
        <v>3512.5833333333335</v>
      </c>
      <c r="F301">
        <f>WEEKNUM(Слияние1[[#This Row],[Дата]],2)</f>
        <v>20</v>
      </c>
      <c r="G301">
        <v>54</v>
      </c>
      <c r="H301">
        <v>11614</v>
      </c>
      <c r="I301">
        <v>10862</v>
      </c>
    </row>
    <row r="302" spans="1:9" x14ac:dyDescent="0.45">
      <c r="A302" s="12">
        <v>43971</v>
      </c>
      <c r="B302" s="13" t="s">
        <v>17</v>
      </c>
      <c r="C302">
        <v>41391</v>
      </c>
      <c r="D302">
        <v>3918987</v>
      </c>
      <c r="E302" s="14">
        <f t="shared" si="4"/>
        <v>1971</v>
      </c>
      <c r="F302">
        <f>WEEKNUM(Слияние1[[#This Row],[Дата]],2)</f>
        <v>21</v>
      </c>
      <c r="G302">
        <v>21</v>
      </c>
      <c r="H302">
        <v>2410</v>
      </c>
      <c r="I302">
        <v>2202</v>
      </c>
    </row>
    <row r="303" spans="1:9" x14ac:dyDescent="0.45">
      <c r="A303" s="12">
        <v>43963</v>
      </c>
      <c r="B303" s="13" t="s">
        <v>21</v>
      </c>
      <c r="C303">
        <v>192886.5</v>
      </c>
      <c r="D303">
        <v>19205179.5</v>
      </c>
      <c r="E303" s="14">
        <f t="shared" si="4"/>
        <v>3214.7750000000001</v>
      </c>
      <c r="F303">
        <f>WEEKNUM(Слияние1[[#This Row],[Дата]],2)</f>
        <v>20</v>
      </c>
      <c r="G303">
        <v>60</v>
      </c>
      <c r="H303">
        <v>12000</v>
      </c>
      <c r="I303">
        <v>11194</v>
      </c>
    </row>
    <row r="304" spans="1:9" x14ac:dyDescent="0.45">
      <c r="A304" s="12">
        <v>43963</v>
      </c>
      <c r="B304" s="13" t="s">
        <v>23</v>
      </c>
      <c r="C304">
        <v>13443</v>
      </c>
      <c r="D304">
        <v>1092277.5</v>
      </c>
      <c r="E304" s="14">
        <f t="shared" si="4"/>
        <v>896.2</v>
      </c>
      <c r="F304">
        <f>WEEKNUM(Слияние1[[#This Row],[Дата]],2)</f>
        <v>20</v>
      </c>
      <c r="G304">
        <v>15</v>
      </c>
      <c r="H304">
        <v>750</v>
      </c>
      <c r="I304">
        <v>659</v>
      </c>
    </row>
    <row r="305" spans="1:9" x14ac:dyDescent="0.45">
      <c r="A305" s="12">
        <v>43964</v>
      </c>
      <c r="B305" s="13" t="s">
        <v>17</v>
      </c>
      <c r="C305">
        <v>35535</v>
      </c>
      <c r="D305">
        <v>3288069</v>
      </c>
      <c r="E305" s="14">
        <f t="shared" si="4"/>
        <v>1692.1428571428571</v>
      </c>
      <c r="F305">
        <f>WEEKNUM(Слияние1[[#This Row],[Дата]],2)</f>
        <v>20</v>
      </c>
      <c r="G305">
        <v>21</v>
      </c>
      <c r="H305">
        <v>2061</v>
      </c>
      <c r="I305">
        <v>1876</v>
      </c>
    </row>
    <row r="306" spans="1:9" x14ac:dyDescent="0.45">
      <c r="A306" s="12">
        <v>43963</v>
      </c>
      <c r="B306" s="13" t="s">
        <v>18</v>
      </c>
      <c r="C306">
        <v>12802.5</v>
      </c>
      <c r="D306">
        <v>1123830</v>
      </c>
      <c r="E306" s="14">
        <f t="shared" si="4"/>
        <v>853.5</v>
      </c>
      <c r="F306">
        <f>WEEKNUM(Слияние1[[#This Row],[Дата]],2)</f>
        <v>20</v>
      </c>
      <c r="G306">
        <v>15</v>
      </c>
      <c r="H306">
        <v>845</v>
      </c>
      <c r="I306">
        <v>743</v>
      </c>
    </row>
    <row r="307" spans="1:9" x14ac:dyDescent="0.45">
      <c r="A307" s="12">
        <v>43982</v>
      </c>
      <c r="B307" s="13" t="s">
        <v>16</v>
      </c>
      <c r="C307">
        <v>76234.5</v>
      </c>
      <c r="D307">
        <v>6500848.5</v>
      </c>
      <c r="E307" s="14">
        <f t="shared" si="4"/>
        <v>2060.3918918918921</v>
      </c>
      <c r="F307">
        <f>WEEKNUM(Слияние1[[#This Row],[Дата]],2)</f>
        <v>22</v>
      </c>
      <c r="G307">
        <v>37</v>
      </c>
      <c r="H307">
        <v>5215</v>
      </c>
      <c r="I307">
        <v>4848</v>
      </c>
    </row>
    <row r="308" spans="1:9" x14ac:dyDescent="0.45">
      <c r="A308" s="12">
        <v>43963</v>
      </c>
      <c r="B308" s="13" t="s">
        <v>19</v>
      </c>
      <c r="C308">
        <v>11296.5</v>
      </c>
      <c r="D308">
        <v>989632.5</v>
      </c>
      <c r="E308" s="14">
        <f t="shared" si="4"/>
        <v>753.1</v>
      </c>
      <c r="F308">
        <f>WEEKNUM(Слияние1[[#This Row],[Дата]],2)</f>
        <v>20</v>
      </c>
      <c r="G308">
        <v>15</v>
      </c>
      <c r="H308">
        <v>624</v>
      </c>
      <c r="I308">
        <v>538</v>
      </c>
    </row>
    <row r="309" spans="1:9" x14ac:dyDescent="0.45">
      <c r="A309" s="12">
        <v>43981</v>
      </c>
      <c r="B309" s="13" t="s">
        <v>16</v>
      </c>
      <c r="C309">
        <v>106926</v>
      </c>
      <c r="D309">
        <v>9098386.5</v>
      </c>
      <c r="E309" s="14">
        <f t="shared" si="4"/>
        <v>2889.8918918918921</v>
      </c>
      <c r="F309">
        <f>WEEKNUM(Слияние1[[#This Row],[Дата]],2)</f>
        <v>22</v>
      </c>
      <c r="G309">
        <v>37</v>
      </c>
      <c r="H309">
        <v>6645</v>
      </c>
      <c r="I309">
        <v>6122</v>
      </c>
    </row>
    <row r="310" spans="1:9" x14ac:dyDescent="0.45">
      <c r="A310" s="12">
        <v>43974</v>
      </c>
      <c r="B310" s="13" t="s">
        <v>17</v>
      </c>
      <c r="C310">
        <v>42999</v>
      </c>
      <c r="D310">
        <v>3883215</v>
      </c>
      <c r="E310" s="14">
        <f t="shared" si="4"/>
        <v>2047.5714285714287</v>
      </c>
      <c r="F310">
        <f>WEEKNUM(Слияние1[[#This Row],[Дата]],2)</f>
        <v>21</v>
      </c>
      <c r="G310">
        <v>21</v>
      </c>
      <c r="H310">
        <v>2460</v>
      </c>
      <c r="I310">
        <v>2226</v>
      </c>
    </row>
    <row r="311" spans="1:9" x14ac:dyDescent="0.45">
      <c r="A311" s="12">
        <v>43979</v>
      </c>
      <c r="B311" s="13" t="s">
        <v>16</v>
      </c>
      <c r="C311">
        <v>69945</v>
      </c>
      <c r="D311">
        <v>6101931</v>
      </c>
      <c r="E311" s="14">
        <f t="shared" si="4"/>
        <v>1890.4054054054054</v>
      </c>
      <c r="F311">
        <f>WEEKNUM(Слияние1[[#This Row],[Дата]],2)</f>
        <v>22</v>
      </c>
      <c r="G311">
        <v>37</v>
      </c>
      <c r="H311">
        <v>4840</v>
      </c>
      <c r="I311">
        <v>4475</v>
      </c>
    </row>
    <row r="312" spans="1:9" x14ac:dyDescent="0.45">
      <c r="A312" s="12">
        <v>43976</v>
      </c>
      <c r="B312" s="13" t="s">
        <v>17</v>
      </c>
      <c r="C312">
        <v>38740.5</v>
      </c>
      <c r="D312">
        <v>3561655.5</v>
      </c>
      <c r="E312" s="14">
        <f t="shared" si="4"/>
        <v>1844.7857142857142</v>
      </c>
      <c r="F312">
        <f>WEEKNUM(Слияние1[[#This Row],[Дата]],2)</f>
        <v>22</v>
      </c>
      <c r="G312">
        <v>21</v>
      </c>
      <c r="H312">
        <v>2330</v>
      </c>
      <c r="I312">
        <v>2142</v>
      </c>
    </row>
    <row r="313" spans="1:9" x14ac:dyDescent="0.45">
      <c r="A313" s="12">
        <v>43964</v>
      </c>
      <c r="B313" s="13" t="s">
        <v>20</v>
      </c>
      <c r="C313">
        <v>25539</v>
      </c>
      <c r="D313">
        <v>2263651.5</v>
      </c>
      <c r="E313" s="14">
        <f t="shared" si="4"/>
        <v>1344.1578947368421</v>
      </c>
      <c r="F313">
        <f>WEEKNUM(Слияние1[[#This Row],[Дата]],2)</f>
        <v>20</v>
      </c>
      <c r="G313">
        <v>19</v>
      </c>
      <c r="H313">
        <v>1605</v>
      </c>
      <c r="I313">
        <v>1447</v>
      </c>
    </row>
    <row r="314" spans="1:9" x14ac:dyDescent="0.45">
      <c r="A314" s="12">
        <v>43964</v>
      </c>
      <c r="B314" s="13" t="s">
        <v>22</v>
      </c>
      <c r="C314">
        <v>188662.5</v>
      </c>
      <c r="D314">
        <v>18784000.5</v>
      </c>
      <c r="E314" s="14">
        <f t="shared" si="4"/>
        <v>3493.75</v>
      </c>
      <c r="F314">
        <f>WEEKNUM(Слияние1[[#This Row],[Дата]],2)</f>
        <v>20</v>
      </c>
      <c r="G314">
        <v>54</v>
      </c>
      <c r="H314">
        <v>11522</v>
      </c>
      <c r="I314">
        <v>10803</v>
      </c>
    </row>
    <row r="315" spans="1:9" x14ac:dyDescent="0.45">
      <c r="A315" s="12">
        <v>43964</v>
      </c>
      <c r="B315" s="13" t="s">
        <v>21</v>
      </c>
      <c r="C315">
        <v>193722</v>
      </c>
      <c r="D315">
        <v>19437273</v>
      </c>
      <c r="E315" s="14">
        <f t="shared" si="4"/>
        <v>3228.7</v>
      </c>
      <c r="F315">
        <f>WEEKNUM(Слияние1[[#This Row],[Дата]],2)</f>
        <v>20</v>
      </c>
      <c r="G315">
        <v>60</v>
      </c>
      <c r="H315">
        <v>12007</v>
      </c>
      <c r="I315">
        <v>11245</v>
      </c>
    </row>
    <row r="316" spans="1:9" x14ac:dyDescent="0.45">
      <c r="A316" s="12">
        <v>43975</v>
      </c>
      <c r="B316" s="13" t="s">
        <v>17</v>
      </c>
      <c r="C316">
        <v>38194.5</v>
      </c>
      <c r="D316">
        <v>3449302.5</v>
      </c>
      <c r="E316" s="14">
        <f t="shared" si="4"/>
        <v>1818.7857142857142</v>
      </c>
      <c r="F316">
        <f>WEEKNUM(Слияние1[[#This Row],[Дата]],2)</f>
        <v>21</v>
      </c>
      <c r="G316">
        <v>21</v>
      </c>
      <c r="H316">
        <v>2254</v>
      </c>
      <c r="I316">
        <v>2061</v>
      </c>
    </row>
    <row r="317" spans="1:9" x14ac:dyDescent="0.45">
      <c r="A317" s="12">
        <v>43982</v>
      </c>
      <c r="B317" s="13" t="s">
        <v>17</v>
      </c>
      <c r="C317">
        <v>42423</v>
      </c>
      <c r="D317">
        <v>3994153.5</v>
      </c>
      <c r="E317" s="14">
        <f t="shared" si="4"/>
        <v>1844.4782608695652</v>
      </c>
      <c r="F317">
        <f>WEEKNUM(Слияние1[[#This Row],[Дата]],2)</f>
        <v>22</v>
      </c>
      <c r="G317">
        <v>23</v>
      </c>
      <c r="H317">
        <v>2522</v>
      </c>
      <c r="I317">
        <v>2295</v>
      </c>
    </row>
    <row r="318" spans="1:9" x14ac:dyDescent="0.45">
      <c r="A318" s="12">
        <v>43964</v>
      </c>
      <c r="B318" s="13" t="s">
        <v>23</v>
      </c>
      <c r="C318">
        <v>14643</v>
      </c>
      <c r="D318">
        <v>1172691</v>
      </c>
      <c r="E318" s="14">
        <f t="shared" si="4"/>
        <v>976.2</v>
      </c>
      <c r="F318">
        <f>WEEKNUM(Слияние1[[#This Row],[Дата]],2)</f>
        <v>20</v>
      </c>
      <c r="G318">
        <v>15</v>
      </c>
      <c r="H318">
        <v>854</v>
      </c>
      <c r="I318">
        <v>756</v>
      </c>
    </row>
    <row r="319" spans="1:9" x14ac:dyDescent="0.45">
      <c r="A319" s="12">
        <v>43981</v>
      </c>
      <c r="B319" s="13" t="s">
        <v>17</v>
      </c>
      <c r="C319">
        <v>48286.5</v>
      </c>
      <c r="D319">
        <v>4456441.5</v>
      </c>
      <c r="E319" s="14">
        <f t="shared" si="4"/>
        <v>2194.840909090909</v>
      </c>
      <c r="F319">
        <f>WEEKNUM(Слияние1[[#This Row],[Дата]],2)</f>
        <v>22</v>
      </c>
      <c r="G319">
        <v>22</v>
      </c>
      <c r="H319">
        <v>2793</v>
      </c>
      <c r="I319">
        <v>2539</v>
      </c>
    </row>
    <row r="320" spans="1:9" x14ac:dyDescent="0.45">
      <c r="A320" s="12">
        <v>43964</v>
      </c>
      <c r="B320" s="13" t="s">
        <v>18</v>
      </c>
      <c r="C320">
        <v>14305.5</v>
      </c>
      <c r="D320">
        <v>1243507.5</v>
      </c>
      <c r="E320" s="14">
        <f t="shared" si="4"/>
        <v>953.7</v>
      </c>
      <c r="F320">
        <f>WEEKNUM(Слияние1[[#This Row],[Дата]],2)</f>
        <v>20</v>
      </c>
      <c r="G320">
        <v>15</v>
      </c>
      <c r="H320">
        <v>898</v>
      </c>
      <c r="I320">
        <v>795</v>
      </c>
    </row>
    <row r="321" spans="1:9" x14ac:dyDescent="0.45">
      <c r="A321" s="12">
        <v>43979</v>
      </c>
      <c r="B321" s="13" t="s">
        <v>17</v>
      </c>
      <c r="C321">
        <v>41442</v>
      </c>
      <c r="D321">
        <v>3893680.5</v>
      </c>
      <c r="E321" s="14">
        <f t="shared" si="4"/>
        <v>1883.7272727272727</v>
      </c>
      <c r="F321">
        <f>WEEKNUM(Слияние1[[#This Row],[Дата]],2)</f>
        <v>22</v>
      </c>
      <c r="G321">
        <v>22</v>
      </c>
      <c r="H321">
        <v>2454</v>
      </c>
      <c r="I321">
        <v>2239</v>
      </c>
    </row>
    <row r="322" spans="1:9" x14ac:dyDescent="0.45">
      <c r="A322" s="12">
        <v>43964</v>
      </c>
      <c r="B322" s="13" t="s">
        <v>19</v>
      </c>
      <c r="C322">
        <v>10401</v>
      </c>
      <c r="D322">
        <v>949912.5</v>
      </c>
      <c r="E322" s="14">
        <f t="shared" si="4"/>
        <v>693.4</v>
      </c>
      <c r="F322">
        <f>WEEKNUM(Слияние1[[#This Row],[Дата]],2)</f>
        <v>20</v>
      </c>
      <c r="G322">
        <v>15</v>
      </c>
      <c r="H322">
        <v>599</v>
      </c>
      <c r="I322">
        <v>515</v>
      </c>
    </row>
    <row r="323" spans="1:9" x14ac:dyDescent="0.45">
      <c r="A323" s="12">
        <v>43967</v>
      </c>
      <c r="B323" s="13" t="s">
        <v>18</v>
      </c>
      <c r="C323">
        <v>18600</v>
      </c>
      <c r="D323">
        <v>1601425.5</v>
      </c>
      <c r="E323" s="14">
        <f t="shared" ref="E323:E386" si="5">C323/G323</f>
        <v>1240</v>
      </c>
      <c r="F323">
        <f>WEEKNUM(Слияние1[[#This Row],[Дата]],2)</f>
        <v>20</v>
      </c>
      <c r="G323">
        <v>15</v>
      </c>
      <c r="H323">
        <v>1111</v>
      </c>
      <c r="I323">
        <v>992</v>
      </c>
    </row>
    <row r="324" spans="1:9" x14ac:dyDescent="0.45">
      <c r="A324" s="12">
        <v>43970</v>
      </c>
      <c r="B324" s="13" t="s">
        <v>18</v>
      </c>
      <c r="C324">
        <v>16638</v>
      </c>
      <c r="D324">
        <v>1364847</v>
      </c>
      <c r="E324" s="14">
        <f t="shared" si="5"/>
        <v>1039.875</v>
      </c>
      <c r="F324">
        <f>WEEKNUM(Слияние1[[#This Row],[Дата]],2)</f>
        <v>21</v>
      </c>
      <c r="G324">
        <v>16</v>
      </c>
      <c r="H324">
        <v>1012</v>
      </c>
      <c r="I324">
        <v>900</v>
      </c>
    </row>
    <row r="325" spans="1:9" x14ac:dyDescent="0.45">
      <c r="A325" s="12">
        <v>43968</v>
      </c>
      <c r="B325" s="13" t="s">
        <v>18</v>
      </c>
      <c r="C325">
        <v>15609</v>
      </c>
      <c r="D325">
        <v>1377577.5</v>
      </c>
      <c r="E325" s="14">
        <f t="shared" si="5"/>
        <v>1040.5999999999999</v>
      </c>
      <c r="F325">
        <f>WEEKNUM(Слияние1[[#This Row],[Дата]],2)</f>
        <v>20</v>
      </c>
      <c r="G325">
        <v>15</v>
      </c>
      <c r="H325">
        <v>971</v>
      </c>
      <c r="I325">
        <v>856</v>
      </c>
    </row>
    <row r="326" spans="1:9" x14ac:dyDescent="0.45">
      <c r="A326" s="12">
        <v>43965</v>
      </c>
      <c r="B326" s="13" t="s">
        <v>16</v>
      </c>
      <c r="C326">
        <v>63645</v>
      </c>
      <c r="D326">
        <v>5366602.5</v>
      </c>
      <c r="E326" s="14">
        <f t="shared" si="5"/>
        <v>1767.9166666666667</v>
      </c>
      <c r="F326">
        <f>WEEKNUM(Слияние1[[#This Row],[Дата]],2)</f>
        <v>20</v>
      </c>
      <c r="G326">
        <v>36</v>
      </c>
      <c r="H326">
        <v>4285</v>
      </c>
      <c r="I326">
        <v>3950</v>
      </c>
    </row>
    <row r="327" spans="1:9" x14ac:dyDescent="0.45">
      <c r="A327" s="12">
        <v>43965</v>
      </c>
      <c r="B327" s="13" t="s">
        <v>11</v>
      </c>
      <c r="C327">
        <v>70498.5</v>
      </c>
      <c r="D327">
        <v>6053649</v>
      </c>
      <c r="E327" s="14">
        <f t="shared" si="5"/>
        <v>2274.1451612903224</v>
      </c>
      <c r="F327">
        <f>WEEKNUM(Слияние1[[#This Row],[Дата]],2)</f>
        <v>20</v>
      </c>
      <c r="G327">
        <v>31</v>
      </c>
      <c r="H327">
        <v>4695</v>
      </c>
      <c r="I327">
        <v>4372</v>
      </c>
    </row>
    <row r="328" spans="1:9" x14ac:dyDescent="0.45">
      <c r="A328" s="12">
        <v>43965</v>
      </c>
      <c r="B328" s="13" t="s">
        <v>17</v>
      </c>
      <c r="C328">
        <v>33886.5</v>
      </c>
      <c r="D328">
        <v>3166479</v>
      </c>
      <c r="E328" s="14">
        <f t="shared" si="5"/>
        <v>1613.6428571428571</v>
      </c>
      <c r="F328">
        <f>WEEKNUM(Слияние1[[#This Row],[Дата]],2)</f>
        <v>20</v>
      </c>
      <c r="G328">
        <v>21</v>
      </c>
      <c r="H328">
        <v>1993</v>
      </c>
      <c r="I328">
        <v>1796</v>
      </c>
    </row>
    <row r="329" spans="1:9" x14ac:dyDescent="0.45">
      <c r="A329" s="12">
        <v>43965</v>
      </c>
      <c r="B329" s="13" t="s">
        <v>10</v>
      </c>
      <c r="C329">
        <v>29658</v>
      </c>
      <c r="D329">
        <v>2703132</v>
      </c>
      <c r="E329" s="14">
        <f t="shared" si="5"/>
        <v>1412.2857142857142</v>
      </c>
      <c r="F329">
        <f>WEEKNUM(Слияние1[[#This Row],[Дата]],2)</f>
        <v>20</v>
      </c>
      <c r="G329">
        <v>21</v>
      </c>
      <c r="H329">
        <v>1706</v>
      </c>
      <c r="I329">
        <v>1548</v>
      </c>
    </row>
    <row r="330" spans="1:9" x14ac:dyDescent="0.45">
      <c r="A330" s="12">
        <v>43977</v>
      </c>
      <c r="B330" s="13" t="s">
        <v>18</v>
      </c>
      <c r="C330">
        <v>17391</v>
      </c>
      <c r="D330">
        <v>1489132.5</v>
      </c>
      <c r="E330" s="14">
        <f t="shared" si="5"/>
        <v>1023</v>
      </c>
      <c r="F330">
        <f>WEEKNUM(Слияние1[[#This Row],[Дата]],2)</f>
        <v>22</v>
      </c>
      <c r="G330">
        <v>17</v>
      </c>
      <c r="H330">
        <v>1140</v>
      </c>
      <c r="I330">
        <v>1016</v>
      </c>
    </row>
    <row r="331" spans="1:9" x14ac:dyDescent="0.45">
      <c r="A331" s="12">
        <v>43965</v>
      </c>
      <c r="B331" s="13" t="s">
        <v>20</v>
      </c>
      <c r="C331">
        <v>25656</v>
      </c>
      <c r="D331">
        <v>2225341.5</v>
      </c>
      <c r="E331" s="14">
        <f t="shared" si="5"/>
        <v>1350.3157894736842</v>
      </c>
      <c r="F331">
        <f>WEEKNUM(Слияние1[[#This Row],[Дата]],2)</f>
        <v>20</v>
      </c>
      <c r="G331">
        <v>19</v>
      </c>
      <c r="H331">
        <v>1635</v>
      </c>
      <c r="I331">
        <v>1487</v>
      </c>
    </row>
    <row r="332" spans="1:9" x14ac:dyDescent="0.45">
      <c r="A332" s="12">
        <v>43965</v>
      </c>
      <c r="B332" s="13" t="s">
        <v>22</v>
      </c>
      <c r="C332">
        <v>186496.5</v>
      </c>
      <c r="D332">
        <v>18640998</v>
      </c>
      <c r="E332" s="14">
        <f t="shared" si="5"/>
        <v>3453.6388888888887</v>
      </c>
      <c r="F332">
        <f>WEEKNUM(Слияние1[[#This Row],[Дата]],2)</f>
        <v>20</v>
      </c>
      <c r="G332">
        <v>54</v>
      </c>
      <c r="H332">
        <v>11194</v>
      </c>
      <c r="I332">
        <v>10554</v>
      </c>
    </row>
    <row r="333" spans="1:9" x14ac:dyDescent="0.45">
      <c r="A333" s="12">
        <v>43965</v>
      </c>
      <c r="B333" s="13" t="s">
        <v>21</v>
      </c>
      <c r="C333">
        <v>197946</v>
      </c>
      <c r="D333">
        <v>19942435.5</v>
      </c>
      <c r="E333" s="14">
        <f t="shared" si="5"/>
        <v>3299.1</v>
      </c>
      <c r="F333">
        <f>WEEKNUM(Слияние1[[#This Row],[Дата]],2)</f>
        <v>20</v>
      </c>
      <c r="G333">
        <v>60</v>
      </c>
      <c r="H333">
        <v>11935</v>
      </c>
      <c r="I333">
        <v>11178</v>
      </c>
    </row>
    <row r="334" spans="1:9" x14ac:dyDescent="0.45">
      <c r="A334" s="12">
        <v>43972</v>
      </c>
      <c r="B334" s="13" t="s">
        <v>18</v>
      </c>
      <c r="C334">
        <v>16554</v>
      </c>
      <c r="D334">
        <v>1380751.5</v>
      </c>
      <c r="E334" s="14">
        <f t="shared" si="5"/>
        <v>973.76470588235293</v>
      </c>
      <c r="F334">
        <f>WEEKNUM(Слияние1[[#This Row],[Дата]],2)</f>
        <v>21</v>
      </c>
      <c r="G334">
        <v>17</v>
      </c>
      <c r="H334">
        <v>1045</v>
      </c>
      <c r="I334">
        <v>930</v>
      </c>
    </row>
    <row r="335" spans="1:9" x14ac:dyDescent="0.45">
      <c r="A335" s="12">
        <v>43965</v>
      </c>
      <c r="B335" s="13" t="s">
        <v>13</v>
      </c>
      <c r="C335">
        <v>27411</v>
      </c>
      <c r="D335">
        <v>2441520</v>
      </c>
      <c r="E335" s="14">
        <f t="shared" si="5"/>
        <v>1442.6842105263158</v>
      </c>
      <c r="F335">
        <f>WEEKNUM(Слияние1[[#This Row],[Дата]],2)</f>
        <v>20</v>
      </c>
      <c r="G335">
        <v>19</v>
      </c>
      <c r="H335">
        <v>1675</v>
      </c>
      <c r="I335">
        <v>1475</v>
      </c>
    </row>
    <row r="336" spans="1:9" x14ac:dyDescent="0.45">
      <c r="A336" s="12">
        <v>43971</v>
      </c>
      <c r="B336" s="13" t="s">
        <v>18</v>
      </c>
      <c r="C336">
        <v>17329.5</v>
      </c>
      <c r="D336">
        <v>1430254.5</v>
      </c>
      <c r="E336" s="14">
        <f t="shared" si="5"/>
        <v>1083.09375</v>
      </c>
      <c r="F336">
        <f>WEEKNUM(Слияние1[[#This Row],[Дата]],2)</f>
        <v>21</v>
      </c>
      <c r="G336">
        <v>16</v>
      </c>
      <c r="H336">
        <v>1050</v>
      </c>
      <c r="I336">
        <v>938</v>
      </c>
    </row>
    <row r="337" spans="1:9" x14ac:dyDescent="0.45">
      <c r="A337" s="12">
        <v>43965</v>
      </c>
      <c r="B337" s="13" t="s">
        <v>23</v>
      </c>
      <c r="C337">
        <v>13810.5</v>
      </c>
      <c r="D337">
        <v>1131676.5</v>
      </c>
      <c r="E337" s="14">
        <f t="shared" si="5"/>
        <v>863.15625</v>
      </c>
      <c r="F337">
        <f>WEEKNUM(Слияние1[[#This Row],[Дата]],2)</f>
        <v>20</v>
      </c>
      <c r="G337">
        <v>16</v>
      </c>
      <c r="H337">
        <v>834</v>
      </c>
      <c r="I337">
        <v>735</v>
      </c>
    </row>
    <row r="338" spans="1:9" x14ac:dyDescent="0.45">
      <c r="A338" s="12">
        <v>43965</v>
      </c>
      <c r="B338" s="13" t="s">
        <v>18</v>
      </c>
      <c r="C338">
        <v>14385</v>
      </c>
      <c r="D338">
        <v>1223491.5</v>
      </c>
      <c r="E338" s="14">
        <f t="shared" si="5"/>
        <v>959</v>
      </c>
      <c r="F338">
        <f>WEEKNUM(Слияние1[[#This Row],[Дата]],2)</f>
        <v>20</v>
      </c>
      <c r="G338">
        <v>15</v>
      </c>
      <c r="H338">
        <v>890</v>
      </c>
      <c r="I338">
        <v>777</v>
      </c>
    </row>
    <row r="339" spans="1:9" x14ac:dyDescent="0.45">
      <c r="A339" s="12">
        <v>43965</v>
      </c>
      <c r="B339" s="13" t="s">
        <v>19</v>
      </c>
      <c r="C339">
        <v>11161.5</v>
      </c>
      <c r="D339">
        <v>963502.5</v>
      </c>
      <c r="E339" s="14">
        <f t="shared" si="5"/>
        <v>744.1</v>
      </c>
      <c r="F339">
        <f>WEEKNUM(Слияние1[[#This Row],[Дата]],2)</f>
        <v>20</v>
      </c>
      <c r="G339">
        <v>15</v>
      </c>
      <c r="H339">
        <v>638</v>
      </c>
      <c r="I339">
        <v>548</v>
      </c>
    </row>
    <row r="340" spans="1:9" x14ac:dyDescent="0.45">
      <c r="A340" s="12">
        <v>43965</v>
      </c>
      <c r="B340" s="13" t="s">
        <v>15</v>
      </c>
      <c r="C340">
        <v>358387.5</v>
      </c>
      <c r="D340">
        <v>37963150.5</v>
      </c>
      <c r="E340" s="14">
        <f t="shared" si="5"/>
        <v>2867.1</v>
      </c>
      <c r="F340">
        <f>WEEKNUM(Слияние1[[#This Row],[Дата]],2)</f>
        <v>20</v>
      </c>
      <c r="G340">
        <v>125</v>
      </c>
      <c r="H340">
        <v>20247</v>
      </c>
      <c r="I340">
        <v>18812</v>
      </c>
    </row>
    <row r="341" spans="1:9" x14ac:dyDescent="0.45">
      <c r="A341" s="12">
        <v>43965</v>
      </c>
      <c r="B341" s="13" t="s">
        <v>14</v>
      </c>
      <c r="C341">
        <v>274059</v>
      </c>
      <c r="D341">
        <v>28181292</v>
      </c>
      <c r="E341" s="14">
        <f t="shared" si="5"/>
        <v>2124.4883720930234</v>
      </c>
      <c r="F341">
        <f>WEEKNUM(Слияние1[[#This Row],[Дата]],2)</f>
        <v>20</v>
      </c>
      <c r="G341">
        <v>129</v>
      </c>
      <c r="H341">
        <v>15804</v>
      </c>
      <c r="I341">
        <v>14738</v>
      </c>
    </row>
    <row r="342" spans="1:9" x14ac:dyDescent="0.45">
      <c r="A342" s="12">
        <v>43965</v>
      </c>
      <c r="B342" s="13" t="s">
        <v>12</v>
      </c>
      <c r="C342">
        <v>12037.5</v>
      </c>
      <c r="D342">
        <v>981564</v>
      </c>
      <c r="E342" s="14">
        <f t="shared" si="5"/>
        <v>1203.75</v>
      </c>
      <c r="F342">
        <f>WEEKNUM(Слияние1[[#This Row],[Дата]],2)</f>
        <v>20</v>
      </c>
      <c r="G342">
        <v>10</v>
      </c>
      <c r="H342">
        <v>627</v>
      </c>
      <c r="I342">
        <v>545</v>
      </c>
    </row>
    <row r="343" spans="1:9" x14ac:dyDescent="0.45">
      <c r="A343" s="12">
        <v>43974</v>
      </c>
      <c r="B343" s="13" t="s">
        <v>18</v>
      </c>
      <c r="C343">
        <v>21958.5</v>
      </c>
      <c r="D343">
        <v>1854001.5</v>
      </c>
      <c r="E343" s="14">
        <f t="shared" si="5"/>
        <v>1291.6764705882354</v>
      </c>
      <c r="F343">
        <f>WEEKNUM(Слияние1[[#This Row],[Дата]],2)</f>
        <v>21</v>
      </c>
      <c r="G343">
        <v>17</v>
      </c>
      <c r="H343">
        <v>1294</v>
      </c>
      <c r="I343">
        <v>1155</v>
      </c>
    </row>
    <row r="344" spans="1:9" x14ac:dyDescent="0.45">
      <c r="A344" s="12">
        <v>43966</v>
      </c>
      <c r="B344" s="13" t="s">
        <v>16</v>
      </c>
      <c r="C344">
        <v>75642</v>
      </c>
      <c r="D344">
        <v>6293952</v>
      </c>
      <c r="E344" s="14">
        <f t="shared" si="5"/>
        <v>2101.1666666666665</v>
      </c>
      <c r="F344">
        <f>WEEKNUM(Слияние1[[#This Row],[Дата]],2)</f>
        <v>20</v>
      </c>
      <c r="G344">
        <v>36</v>
      </c>
      <c r="H344">
        <v>4862</v>
      </c>
      <c r="I344">
        <v>4476</v>
      </c>
    </row>
    <row r="345" spans="1:9" x14ac:dyDescent="0.45">
      <c r="A345" s="12">
        <v>43976</v>
      </c>
      <c r="B345" s="13" t="s">
        <v>18</v>
      </c>
      <c r="C345">
        <v>17211</v>
      </c>
      <c r="D345">
        <v>1507867.5</v>
      </c>
      <c r="E345" s="14">
        <f t="shared" si="5"/>
        <v>1012.4117647058823</v>
      </c>
      <c r="F345">
        <f>WEEKNUM(Слияние1[[#This Row],[Дата]],2)</f>
        <v>22</v>
      </c>
      <c r="G345">
        <v>17</v>
      </c>
      <c r="H345">
        <v>1142</v>
      </c>
      <c r="I345">
        <v>1020</v>
      </c>
    </row>
    <row r="346" spans="1:9" x14ac:dyDescent="0.45">
      <c r="A346" s="12">
        <v>43966</v>
      </c>
      <c r="B346" s="13" t="s">
        <v>11</v>
      </c>
      <c r="C346">
        <v>78961.5</v>
      </c>
      <c r="D346">
        <v>6876454.5</v>
      </c>
      <c r="E346" s="14">
        <f t="shared" si="5"/>
        <v>2547.1451612903224</v>
      </c>
      <c r="F346">
        <f>WEEKNUM(Слияние1[[#This Row],[Дата]],2)</f>
        <v>20</v>
      </c>
      <c r="G346">
        <v>31</v>
      </c>
      <c r="H346">
        <v>5184</v>
      </c>
      <c r="I346">
        <v>4778</v>
      </c>
    </row>
    <row r="347" spans="1:9" x14ac:dyDescent="0.45">
      <c r="A347" s="12">
        <v>43966</v>
      </c>
      <c r="B347" s="13" t="s">
        <v>17</v>
      </c>
      <c r="C347">
        <v>41697</v>
      </c>
      <c r="D347">
        <v>3772258.5</v>
      </c>
      <c r="E347" s="14">
        <f t="shared" si="5"/>
        <v>1985.5714285714287</v>
      </c>
      <c r="F347">
        <f>WEEKNUM(Слияние1[[#This Row],[Дата]],2)</f>
        <v>20</v>
      </c>
      <c r="G347">
        <v>21</v>
      </c>
      <c r="H347">
        <v>2255</v>
      </c>
      <c r="I347">
        <v>2045</v>
      </c>
    </row>
    <row r="348" spans="1:9" x14ac:dyDescent="0.45">
      <c r="A348" s="12">
        <v>43966</v>
      </c>
      <c r="B348" s="13" t="s">
        <v>10</v>
      </c>
      <c r="C348">
        <v>34150.5</v>
      </c>
      <c r="D348">
        <v>3038293.5</v>
      </c>
      <c r="E348" s="14">
        <f t="shared" si="5"/>
        <v>1626.2142857142858</v>
      </c>
      <c r="F348">
        <f>WEEKNUM(Слияние1[[#This Row],[Дата]],2)</f>
        <v>20</v>
      </c>
      <c r="G348">
        <v>21</v>
      </c>
      <c r="H348">
        <v>1926</v>
      </c>
      <c r="I348">
        <v>1742</v>
      </c>
    </row>
    <row r="349" spans="1:9" x14ac:dyDescent="0.45">
      <c r="A349" s="12">
        <v>43966</v>
      </c>
      <c r="B349" s="13" t="s">
        <v>20</v>
      </c>
      <c r="C349">
        <v>29283</v>
      </c>
      <c r="D349">
        <v>2477487</v>
      </c>
      <c r="E349" s="14">
        <f t="shared" si="5"/>
        <v>1541.2105263157894</v>
      </c>
      <c r="F349">
        <f>WEEKNUM(Слияние1[[#This Row],[Дата]],2)</f>
        <v>20</v>
      </c>
      <c r="G349">
        <v>19</v>
      </c>
      <c r="H349">
        <v>1780</v>
      </c>
      <c r="I349">
        <v>1615</v>
      </c>
    </row>
    <row r="350" spans="1:9" x14ac:dyDescent="0.45">
      <c r="A350" s="12">
        <v>43966</v>
      </c>
      <c r="B350" s="13" t="s">
        <v>22</v>
      </c>
      <c r="C350">
        <v>219772.5</v>
      </c>
      <c r="D350">
        <v>21895294.5</v>
      </c>
      <c r="E350" s="14">
        <f t="shared" si="5"/>
        <v>4069.8611111111113</v>
      </c>
      <c r="F350">
        <f>WEEKNUM(Слияние1[[#This Row],[Дата]],2)</f>
        <v>20</v>
      </c>
      <c r="G350">
        <v>54</v>
      </c>
      <c r="H350">
        <v>12791</v>
      </c>
      <c r="I350">
        <v>11950</v>
      </c>
    </row>
    <row r="351" spans="1:9" x14ac:dyDescent="0.45">
      <c r="A351" s="12">
        <v>43975</v>
      </c>
      <c r="B351" s="13" t="s">
        <v>18</v>
      </c>
      <c r="C351">
        <v>18075</v>
      </c>
      <c r="D351">
        <v>1548099</v>
      </c>
      <c r="E351" s="14">
        <f t="shared" si="5"/>
        <v>1063.2352941176471</v>
      </c>
      <c r="F351">
        <f>WEEKNUM(Слияние1[[#This Row],[Дата]],2)</f>
        <v>21</v>
      </c>
      <c r="G351">
        <v>17</v>
      </c>
      <c r="H351">
        <v>1128</v>
      </c>
      <c r="I351">
        <v>1001</v>
      </c>
    </row>
    <row r="352" spans="1:9" x14ac:dyDescent="0.45">
      <c r="A352" s="12">
        <v>43966</v>
      </c>
      <c r="B352" s="13" t="s">
        <v>21</v>
      </c>
      <c r="C352">
        <v>230896.5</v>
      </c>
      <c r="D352">
        <v>23085222</v>
      </c>
      <c r="E352" s="14">
        <f t="shared" si="5"/>
        <v>3848.2750000000001</v>
      </c>
      <c r="F352">
        <f>WEEKNUM(Слияние1[[#This Row],[Дата]],2)</f>
        <v>20</v>
      </c>
      <c r="G352">
        <v>60</v>
      </c>
      <c r="H352">
        <v>13544</v>
      </c>
      <c r="I352">
        <v>12643</v>
      </c>
    </row>
    <row r="353" spans="1:9" x14ac:dyDescent="0.45">
      <c r="A353" s="12">
        <v>43967</v>
      </c>
      <c r="B353" s="13" t="s">
        <v>19</v>
      </c>
      <c r="C353">
        <v>13120.5</v>
      </c>
      <c r="D353">
        <v>1215033</v>
      </c>
      <c r="E353" s="14">
        <f t="shared" si="5"/>
        <v>874.7</v>
      </c>
      <c r="F353">
        <f>WEEKNUM(Слияние1[[#This Row],[Дата]],2)</f>
        <v>20</v>
      </c>
      <c r="G353">
        <v>15</v>
      </c>
      <c r="H353">
        <v>747</v>
      </c>
      <c r="I353">
        <v>647</v>
      </c>
    </row>
    <row r="354" spans="1:9" x14ac:dyDescent="0.45">
      <c r="A354" s="12">
        <v>43966</v>
      </c>
      <c r="B354" s="13" t="s">
        <v>13</v>
      </c>
      <c r="C354">
        <v>32854.5</v>
      </c>
      <c r="D354">
        <v>2949078</v>
      </c>
      <c r="E354" s="14">
        <f t="shared" si="5"/>
        <v>1729.1842105263158</v>
      </c>
      <c r="F354">
        <f>WEEKNUM(Слияние1[[#This Row],[Дата]],2)</f>
        <v>20</v>
      </c>
      <c r="G354">
        <v>19</v>
      </c>
      <c r="H354">
        <v>1940</v>
      </c>
      <c r="I354">
        <v>1715</v>
      </c>
    </row>
    <row r="355" spans="1:9" x14ac:dyDescent="0.45">
      <c r="A355" s="12">
        <v>43970</v>
      </c>
      <c r="B355" s="13" t="s">
        <v>19</v>
      </c>
      <c r="C355">
        <v>16237.5</v>
      </c>
      <c r="D355">
        <v>1403047.5</v>
      </c>
      <c r="E355" s="14">
        <f t="shared" si="5"/>
        <v>1082.5</v>
      </c>
      <c r="F355">
        <f>WEEKNUM(Слияние1[[#This Row],[Дата]],2)</f>
        <v>21</v>
      </c>
      <c r="G355">
        <v>15</v>
      </c>
      <c r="H355">
        <v>930</v>
      </c>
      <c r="I355">
        <v>827</v>
      </c>
    </row>
    <row r="356" spans="1:9" x14ac:dyDescent="0.45">
      <c r="A356" s="12">
        <v>43966</v>
      </c>
      <c r="B356" s="13" t="s">
        <v>23</v>
      </c>
      <c r="C356">
        <v>13752</v>
      </c>
      <c r="D356">
        <v>1091040</v>
      </c>
      <c r="E356" s="14">
        <f t="shared" si="5"/>
        <v>859.5</v>
      </c>
      <c r="F356">
        <f>WEEKNUM(Слияние1[[#This Row],[Дата]],2)</f>
        <v>20</v>
      </c>
      <c r="G356">
        <v>16</v>
      </c>
      <c r="H356">
        <v>817</v>
      </c>
      <c r="I356">
        <v>718</v>
      </c>
    </row>
    <row r="357" spans="1:9" x14ac:dyDescent="0.45">
      <c r="A357" s="12">
        <v>43968</v>
      </c>
      <c r="B357" s="13" t="s">
        <v>19</v>
      </c>
      <c r="C357">
        <v>11967</v>
      </c>
      <c r="D357">
        <v>1060489.5</v>
      </c>
      <c r="E357" s="14">
        <f t="shared" si="5"/>
        <v>797.8</v>
      </c>
      <c r="F357">
        <f>WEEKNUM(Слияние1[[#This Row],[Дата]],2)</f>
        <v>20</v>
      </c>
      <c r="G357">
        <v>15</v>
      </c>
      <c r="H357">
        <v>692</v>
      </c>
      <c r="I357">
        <v>591</v>
      </c>
    </row>
    <row r="358" spans="1:9" x14ac:dyDescent="0.45">
      <c r="A358" s="12">
        <v>43966</v>
      </c>
      <c r="B358" s="13" t="s">
        <v>18</v>
      </c>
      <c r="C358">
        <v>16498.5</v>
      </c>
      <c r="D358">
        <v>1370482.5</v>
      </c>
      <c r="E358" s="14">
        <f t="shared" si="5"/>
        <v>1099.9000000000001</v>
      </c>
      <c r="F358">
        <f>WEEKNUM(Слияние1[[#This Row],[Дата]],2)</f>
        <v>20</v>
      </c>
      <c r="G358">
        <v>15</v>
      </c>
      <c r="H358">
        <v>980</v>
      </c>
      <c r="I358">
        <v>867</v>
      </c>
    </row>
    <row r="359" spans="1:9" x14ac:dyDescent="0.45">
      <c r="A359" s="12">
        <v>43966</v>
      </c>
      <c r="B359" s="13" t="s">
        <v>19</v>
      </c>
      <c r="C359">
        <v>12229.5</v>
      </c>
      <c r="D359">
        <v>1122730.5</v>
      </c>
      <c r="E359" s="14">
        <f t="shared" si="5"/>
        <v>815.3</v>
      </c>
      <c r="F359">
        <f>WEEKNUM(Слияние1[[#This Row],[Дата]],2)</f>
        <v>20</v>
      </c>
      <c r="G359">
        <v>15</v>
      </c>
      <c r="H359">
        <v>688</v>
      </c>
      <c r="I359">
        <v>598</v>
      </c>
    </row>
    <row r="360" spans="1:9" x14ac:dyDescent="0.45">
      <c r="A360" s="12">
        <v>43966</v>
      </c>
      <c r="B360" s="13" t="s">
        <v>15</v>
      </c>
      <c r="C360">
        <v>403261.5</v>
      </c>
      <c r="D360">
        <v>42271377</v>
      </c>
      <c r="E360" s="14">
        <f t="shared" si="5"/>
        <v>3226.0920000000001</v>
      </c>
      <c r="F360">
        <f>WEEKNUM(Слияние1[[#This Row],[Дата]],2)</f>
        <v>20</v>
      </c>
      <c r="G360">
        <v>125</v>
      </c>
      <c r="H360">
        <v>21862</v>
      </c>
      <c r="I360">
        <v>20235</v>
      </c>
    </row>
    <row r="361" spans="1:9" x14ac:dyDescent="0.45">
      <c r="A361" s="12">
        <v>43966</v>
      </c>
      <c r="B361" s="13" t="s">
        <v>14</v>
      </c>
      <c r="C361">
        <v>318816</v>
      </c>
      <c r="D361">
        <v>32354331</v>
      </c>
      <c r="E361" s="14">
        <f t="shared" si="5"/>
        <v>2471.4418604651164</v>
      </c>
      <c r="F361">
        <f>WEEKNUM(Слияние1[[#This Row],[Дата]],2)</f>
        <v>20</v>
      </c>
      <c r="G361">
        <v>129</v>
      </c>
      <c r="H361">
        <v>17808</v>
      </c>
      <c r="I361">
        <v>16486</v>
      </c>
    </row>
    <row r="362" spans="1:9" x14ac:dyDescent="0.45">
      <c r="A362" s="12">
        <v>43966</v>
      </c>
      <c r="B362" s="13" t="s">
        <v>12</v>
      </c>
      <c r="C362">
        <v>14421</v>
      </c>
      <c r="D362">
        <v>1150579.5</v>
      </c>
      <c r="E362" s="14">
        <f t="shared" si="5"/>
        <v>1442.1</v>
      </c>
      <c r="F362">
        <f>WEEKNUM(Слияние1[[#This Row],[Дата]],2)</f>
        <v>20</v>
      </c>
      <c r="G362">
        <v>10</v>
      </c>
      <c r="H362">
        <v>743</v>
      </c>
      <c r="I362">
        <v>652</v>
      </c>
    </row>
    <row r="363" spans="1:9" x14ac:dyDescent="0.45">
      <c r="A363" s="12">
        <v>43977</v>
      </c>
      <c r="B363" s="13" t="s">
        <v>19</v>
      </c>
      <c r="C363">
        <v>12259.5</v>
      </c>
      <c r="D363">
        <v>1152054</v>
      </c>
      <c r="E363" s="14">
        <f t="shared" si="5"/>
        <v>817.3</v>
      </c>
      <c r="F363">
        <f>WEEKNUM(Слияние1[[#This Row],[Дата]],2)</f>
        <v>22</v>
      </c>
      <c r="G363">
        <v>15</v>
      </c>
      <c r="H363">
        <v>812</v>
      </c>
      <c r="I363">
        <v>711</v>
      </c>
    </row>
    <row r="364" spans="1:9" x14ac:dyDescent="0.45">
      <c r="A364" s="12">
        <v>43972</v>
      </c>
      <c r="B364" s="13" t="s">
        <v>19</v>
      </c>
      <c r="C364">
        <v>12135</v>
      </c>
      <c r="D364">
        <v>1103623.5</v>
      </c>
      <c r="E364" s="14">
        <f t="shared" si="5"/>
        <v>809</v>
      </c>
      <c r="F364">
        <f>WEEKNUM(Слияние1[[#This Row],[Дата]],2)</f>
        <v>21</v>
      </c>
      <c r="G364">
        <v>15</v>
      </c>
      <c r="H364">
        <v>749</v>
      </c>
      <c r="I364">
        <v>652</v>
      </c>
    </row>
    <row r="365" spans="1:9" x14ac:dyDescent="0.45">
      <c r="A365" s="12">
        <v>43971</v>
      </c>
      <c r="B365" s="13" t="s">
        <v>19</v>
      </c>
      <c r="C365">
        <v>12630</v>
      </c>
      <c r="D365">
        <v>1104858</v>
      </c>
      <c r="E365" s="14">
        <f t="shared" si="5"/>
        <v>842</v>
      </c>
      <c r="F365">
        <f>WEEKNUM(Слияние1[[#This Row],[Дата]],2)</f>
        <v>21</v>
      </c>
      <c r="G365">
        <v>15</v>
      </c>
      <c r="H365">
        <v>760</v>
      </c>
      <c r="I365">
        <v>664</v>
      </c>
    </row>
    <row r="366" spans="1:9" x14ac:dyDescent="0.45">
      <c r="A366" s="12">
        <v>43967</v>
      </c>
      <c r="B366" s="13" t="s">
        <v>20</v>
      </c>
      <c r="C366">
        <v>34563</v>
      </c>
      <c r="D366">
        <v>2922883.5</v>
      </c>
      <c r="E366" s="14">
        <f t="shared" si="5"/>
        <v>1819.1052631578948</v>
      </c>
      <c r="F366">
        <f>WEEKNUM(Слияние1[[#This Row],[Дата]],2)</f>
        <v>20</v>
      </c>
      <c r="G366">
        <v>19</v>
      </c>
      <c r="H366">
        <v>2039</v>
      </c>
      <c r="I366">
        <v>1868</v>
      </c>
    </row>
    <row r="367" spans="1:9" x14ac:dyDescent="0.45">
      <c r="A367" s="12">
        <v>43967</v>
      </c>
      <c r="B367" s="13" t="s">
        <v>22</v>
      </c>
      <c r="C367">
        <v>225480</v>
      </c>
      <c r="D367">
        <v>22355338.5</v>
      </c>
      <c r="E367" s="14">
        <f t="shared" si="5"/>
        <v>4175.5555555555557</v>
      </c>
      <c r="F367">
        <f>WEEKNUM(Слияние1[[#This Row],[Дата]],2)</f>
        <v>20</v>
      </c>
      <c r="G367">
        <v>54</v>
      </c>
      <c r="H367">
        <v>13170</v>
      </c>
      <c r="I367">
        <v>12299</v>
      </c>
    </row>
    <row r="368" spans="1:9" x14ac:dyDescent="0.45">
      <c r="A368" s="12">
        <v>43967</v>
      </c>
      <c r="B368" s="13" t="s">
        <v>21</v>
      </c>
      <c r="C368">
        <v>236551.5</v>
      </c>
      <c r="D368">
        <v>23689383</v>
      </c>
      <c r="E368" s="14">
        <f t="shared" si="5"/>
        <v>3942.5250000000001</v>
      </c>
      <c r="F368">
        <f>WEEKNUM(Слияние1[[#This Row],[Дата]],2)</f>
        <v>20</v>
      </c>
      <c r="G368">
        <v>60</v>
      </c>
      <c r="H368">
        <v>14049</v>
      </c>
      <c r="I368">
        <v>13118</v>
      </c>
    </row>
    <row r="369" spans="1:9" x14ac:dyDescent="0.45">
      <c r="A369" s="12">
        <v>43982</v>
      </c>
      <c r="B369" s="13" t="s">
        <v>18</v>
      </c>
      <c r="C369">
        <v>17689.5</v>
      </c>
      <c r="D369">
        <v>1592119.5</v>
      </c>
      <c r="E369" s="14">
        <f t="shared" si="5"/>
        <v>1040.5588235294117</v>
      </c>
      <c r="F369">
        <f>WEEKNUM(Слияние1[[#This Row],[Дата]],2)</f>
        <v>22</v>
      </c>
      <c r="G369">
        <v>17</v>
      </c>
      <c r="H369">
        <v>1186</v>
      </c>
      <c r="I369">
        <v>1054</v>
      </c>
    </row>
    <row r="370" spans="1:9" x14ac:dyDescent="0.45">
      <c r="A370" s="12">
        <v>43967</v>
      </c>
      <c r="B370" s="13" t="s">
        <v>23</v>
      </c>
      <c r="C370">
        <v>16368</v>
      </c>
      <c r="D370">
        <v>1316350.5</v>
      </c>
      <c r="E370" s="14">
        <f t="shared" si="5"/>
        <v>1023</v>
      </c>
      <c r="F370">
        <f>WEEKNUM(Слияние1[[#This Row],[Дата]],2)</f>
        <v>20</v>
      </c>
      <c r="G370">
        <v>16</v>
      </c>
      <c r="H370">
        <v>920</v>
      </c>
      <c r="I370">
        <v>818</v>
      </c>
    </row>
    <row r="371" spans="1:9" x14ac:dyDescent="0.45">
      <c r="A371" s="12">
        <v>43981</v>
      </c>
      <c r="B371" s="13" t="s">
        <v>18</v>
      </c>
      <c r="C371">
        <v>27250.5</v>
      </c>
      <c r="D371">
        <v>2457252</v>
      </c>
      <c r="E371" s="14">
        <f t="shared" si="5"/>
        <v>1602.9705882352941</v>
      </c>
      <c r="F371">
        <f>WEEKNUM(Слияние1[[#This Row],[Дата]],2)</f>
        <v>22</v>
      </c>
      <c r="G371">
        <v>17</v>
      </c>
      <c r="H371">
        <v>1697</v>
      </c>
      <c r="I371">
        <v>1499</v>
      </c>
    </row>
    <row r="372" spans="1:9" x14ac:dyDescent="0.45">
      <c r="A372" s="12">
        <v>43974</v>
      </c>
      <c r="B372" s="13" t="s">
        <v>19</v>
      </c>
      <c r="C372">
        <v>14167.5</v>
      </c>
      <c r="D372">
        <v>1315075.5</v>
      </c>
      <c r="E372" s="14">
        <f t="shared" si="5"/>
        <v>944.5</v>
      </c>
      <c r="F372">
        <f>WEEKNUM(Слияние1[[#This Row],[Дата]],2)</f>
        <v>21</v>
      </c>
      <c r="G372">
        <v>15</v>
      </c>
      <c r="H372">
        <v>840</v>
      </c>
      <c r="I372">
        <v>725</v>
      </c>
    </row>
    <row r="373" spans="1:9" x14ac:dyDescent="0.45">
      <c r="A373" s="12">
        <v>43979</v>
      </c>
      <c r="B373" s="13" t="s">
        <v>18</v>
      </c>
      <c r="C373">
        <v>16500</v>
      </c>
      <c r="D373">
        <v>1487928</v>
      </c>
      <c r="E373" s="14">
        <f t="shared" si="5"/>
        <v>970.58823529411768</v>
      </c>
      <c r="F373">
        <f>WEEKNUM(Слияние1[[#This Row],[Дата]],2)</f>
        <v>22</v>
      </c>
      <c r="G373">
        <v>17</v>
      </c>
      <c r="H373">
        <v>1097</v>
      </c>
      <c r="I373">
        <v>968</v>
      </c>
    </row>
    <row r="374" spans="1:9" x14ac:dyDescent="0.45">
      <c r="A374" s="12">
        <v>43976</v>
      </c>
      <c r="B374" s="13" t="s">
        <v>19</v>
      </c>
      <c r="C374">
        <v>13260</v>
      </c>
      <c r="D374">
        <v>1230687</v>
      </c>
      <c r="E374" s="14">
        <f t="shared" si="5"/>
        <v>884</v>
      </c>
      <c r="F374">
        <f>WEEKNUM(Слияние1[[#This Row],[Дата]],2)</f>
        <v>22</v>
      </c>
      <c r="G374">
        <v>15</v>
      </c>
      <c r="H374">
        <v>835</v>
      </c>
      <c r="I374">
        <v>736</v>
      </c>
    </row>
    <row r="375" spans="1:9" x14ac:dyDescent="0.45">
      <c r="A375" s="12">
        <v>43968</v>
      </c>
      <c r="B375" s="13" t="s">
        <v>20</v>
      </c>
      <c r="C375">
        <v>28275</v>
      </c>
      <c r="D375">
        <v>2435632.5</v>
      </c>
      <c r="E375" s="14">
        <f t="shared" si="5"/>
        <v>1488.1578947368421</v>
      </c>
      <c r="F375">
        <f>WEEKNUM(Слияние1[[#This Row],[Дата]],2)</f>
        <v>20</v>
      </c>
      <c r="G375">
        <v>19</v>
      </c>
      <c r="H375">
        <v>1790</v>
      </c>
      <c r="I375">
        <v>1633</v>
      </c>
    </row>
    <row r="376" spans="1:9" x14ac:dyDescent="0.45">
      <c r="A376" s="12">
        <v>43975</v>
      </c>
      <c r="B376" s="13" t="s">
        <v>19</v>
      </c>
      <c r="C376">
        <v>12666</v>
      </c>
      <c r="D376">
        <v>1184865</v>
      </c>
      <c r="E376" s="14">
        <f t="shared" si="5"/>
        <v>844.4</v>
      </c>
      <c r="F376">
        <f>WEEKNUM(Слияние1[[#This Row],[Дата]],2)</f>
        <v>21</v>
      </c>
      <c r="G376">
        <v>15</v>
      </c>
      <c r="H376">
        <v>779</v>
      </c>
      <c r="I376">
        <v>673</v>
      </c>
    </row>
    <row r="377" spans="1:9" x14ac:dyDescent="0.45">
      <c r="A377" s="12">
        <v>43968</v>
      </c>
      <c r="B377" s="13" t="s">
        <v>22</v>
      </c>
      <c r="C377">
        <v>184801.5</v>
      </c>
      <c r="D377">
        <v>18449091</v>
      </c>
      <c r="E377" s="14">
        <f t="shared" si="5"/>
        <v>3422.25</v>
      </c>
      <c r="F377">
        <f>WEEKNUM(Слияние1[[#This Row],[Дата]],2)</f>
        <v>20</v>
      </c>
      <c r="G377">
        <v>54</v>
      </c>
      <c r="H377">
        <v>11128</v>
      </c>
      <c r="I377">
        <v>10467</v>
      </c>
    </row>
    <row r="378" spans="1:9" x14ac:dyDescent="0.45">
      <c r="A378" s="12">
        <v>43968</v>
      </c>
      <c r="B378" s="13" t="s">
        <v>21</v>
      </c>
      <c r="C378">
        <v>193363.5</v>
      </c>
      <c r="D378">
        <v>19546386</v>
      </c>
      <c r="E378" s="14">
        <f t="shared" si="5"/>
        <v>3222.7249999999999</v>
      </c>
      <c r="F378">
        <f>WEEKNUM(Слияние1[[#This Row],[Дата]],2)</f>
        <v>20</v>
      </c>
      <c r="G378">
        <v>60</v>
      </c>
      <c r="H378">
        <v>11698</v>
      </c>
      <c r="I378">
        <v>10989</v>
      </c>
    </row>
    <row r="379" spans="1:9" x14ac:dyDescent="0.45">
      <c r="A379" s="12">
        <v>43970</v>
      </c>
      <c r="B379" s="13" t="s">
        <v>20</v>
      </c>
      <c r="C379">
        <v>28882.5</v>
      </c>
      <c r="D379">
        <v>2446530</v>
      </c>
      <c r="E379" s="14">
        <f t="shared" si="5"/>
        <v>1520.1315789473683</v>
      </c>
      <c r="F379">
        <f>WEEKNUM(Слияние1[[#This Row],[Дата]],2)</f>
        <v>21</v>
      </c>
      <c r="G379">
        <v>19</v>
      </c>
      <c r="H379">
        <v>1831</v>
      </c>
      <c r="I379">
        <v>1667</v>
      </c>
    </row>
    <row r="380" spans="1:9" x14ac:dyDescent="0.45">
      <c r="A380" s="12">
        <v>43968</v>
      </c>
      <c r="B380" s="13" t="s">
        <v>23</v>
      </c>
      <c r="C380">
        <v>13440</v>
      </c>
      <c r="D380">
        <v>1157529</v>
      </c>
      <c r="E380" s="14">
        <f t="shared" si="5"/>
        <v>840</v>
      </c>
      <c r="F380">
        <f>WEEKNUM(Слияние1[[#This Row],[Дата]],2)</f>
        <v>20</v>
      </c>
      <c r="G380">
        <v>16</v>
      </c>
      <c r="H380">
        <v>859</v>
      </c>
      <c r="I380">
        <v>746</v>
      </c>
    </row>
    <row r="381" spans="1:9" x14ac:dyDescent="0.45">
      <c r="A381" s="12">
        <v>43977</v>
      </c>
      <c r="B381" s="13" t="s">
        <v>20</v>
      </c>
      <c r="C381">
        <v>27156</v>
      </c>
      <c r="D381">
        <v>2410803</v>
      </c>
      <c r="E381" s="14">
        <f t="shared" si="5"/>
        <v>1357.8</v>
      </c>
      <c r="F381">
        <f>WEEKNUM(Слияние1[[#This Row],[Дата]],2)</f>
        <v>22</v>
      </c>
      <c r="G381">
        <v>20</v>
      </c>
      <c r="H381">
        <v>1814</v>
      </c>
      <c r="I381">
        <v>1655</v>
      </c>
    </row>
    <row r="382" spans="1:9" x14ac:dyDescent="0.45">
      <c r="A382" s="12">
        <v>43969</v>
      </c>
      <c r="B382" s="13" t="s">
        <v>16</v>
      </c>
      <c r="C382">
        <v>70278</v>
      </c>
      <c r="D382">
        <v>5798476.5</v>
      </c>
      <c r="E382" s="14">
        <f t="shared" si="5"/>
        <v>1952.1666666666667</v>
      </c>
      <c r="F382">
        <f>WEEKNUM(Слияние1[[#This Row],[Дата]],2)</f>
        <v>21</v>
      </c>
      <c r="G382">
        <v>36</v>
      </c>
      <c r="H382">
        <v>4885</v>
      </c>
      <c r="I382">
        <v>4502</v>
      </c>
    </row>
    <row r="383" spans="1:9" x14ac:dyDescent="0.45">
      <c r="A383" s="12">
        <v>43972</v>
      </c>
      <c r="B383" s="13" t="s">
        <v>20</v>
      </c>
      <c r="C383">
        <v>25362</v>
      </c>
      <c r="D383">
        <v>2198935.5</v>
      </c>
      <c r="E383" s="14">
        <f t="shared" si="5"/>
        <v>1334.8421052631579</v>
      </c>
      <c r="F383">
        <f>WEEKNUM(Слияние1[[#This Row],[Дата]],2)</f>
        <v>21</v>
      </c>
      <c r="G383">
        <v>19</v>
      </c>
      <c r="H383">
        <v>1650</v>
      </c>
      <c r="I383">
        <v>1505</v>
      </c>
    </row>
    <row r="384" spans="1:9" x14ac:dyDescent="0.45">
      <c r="A384" s="12">
        <v>43969</v>
      </c>
      <c r="B384" s="13" t="s">
        <v>11</v>
      </c>
      <c r="C384">
        <v>78058.5</v>
      </c>
      <c r="D384">
        <v>6609714</v>
      </c>
      <c r="E384" s="14">
        <f t="shared" si="5"/>
        <v>2518.016129032258</v>
      </c>
      <c r="F384">
        <f>WEEKNUM(Слияние1[[#This Row],[Дата]],2)</f>
        <v>21</v>
      </c>
      <c r="G384">
        <v>31</v>
      </c>
      <c r="H384">
        <v>5165</v>
      </c>
      <c r="I384">
        <v>4813</v>
      </c>
    </row>
    <row r="385" spans="1:9" x14ac:dyDescent="0.45">
      <c r="A385" s="12">
        <v>43971</v>
      </c>
      <c r="B385" s="13" t="s">
        <v>20</v>
      </c>
      <c r="C385">
        <v>28849.5</v>
      </c>
      <c r="D385">
        <v>2520759</v>
      </c>
      <c r="E385" s="14">
        <f t="shared" si="5"/>
        <v>1518.3947368421052</v>
      </c>
      <c r="F385">
        <f>WEEKNUM(Слияние1[[#This Row],[Дата]],2)</f>
        <v>21</v>
      </c>
      <c r="G385">
        <v>19</v>
      </c>
      <c r="H385">
        <v>1823</v>
      </c>
      <c r="I385">
        <v>1678</v>
      </c>
    </row>
    <row r="386" spans="1:9" x14ac:dyDescent="0.45">
      <c r="A386" s="12">
        <v>43969</v>
      </c>
      <c r="B386" s="13" t="s">
        <v>17</v>
      </c>
      <c r="C386">
        <v>36655.5</v>
      </c>
      <c r="D386">
        <v>3360135</v>
      </c>
      <c r="E386" s="14">
        <f t="shared" si="5"/>
        <v>1745.5</v>
      </c>
      <c r="F386">
        <f>WEEKNUM(Слияние1[[#This Row],[Дата]],2)</f>
        <v>21</v>
      </c>
      <c r="G386">
        <v>21</v>
      </c>
      <c r="H386">
        <v>2136</v>
      </c>
      <c r="I386">
        <v>1947</v>
      </c>
    </row>
    <row r="387" spans="1:9" x14ac:dyDescent="0.45">
      <c r="A387" s="12">
        <v>43969</v>
      </c>
      <c r="B387" s="13" t="s">
        <v>10</v>
      </c>
      <c r="C387">
        <v>31329</v>
      </c>
      <c r="D387">
        <v>2826379.5</v>
      </c>
      <c r="E387" s="14">
        <f t="shared" ref="E387:E450" si="6">C387/G387</f>
        <v>1491.8571428571429</v>
      </c>
      <c r="F387">
        <f>WEEKNUM(Слияние1[[#This Row],[Дата]],2)</f>
        <v>21</v>
      </c>
      <c r="G387">
        <v>21</v>
      </c>
      <c r="H387">
        <v>1834</v>
      </c>
      <c r="I387">
        <v>1660</v>
      </c>
    </row>
    <row r="388" spans="1:9" x14ac:dyDescent="0.45">
      <c r="A388" s="12">
        <v>43969</v>
      </c>
      <c r="B388" s="13" t="s">
        <v>20</v>
      </c>
      <c r="C388">
        <v>27181.5</v>
      </c>
      <c r="D388">
        <v>2324490</v>
      </c>
      <c r="E388" s="14">
        <f t="shared" si="6"/>
        <v>1430.6052631578948</v>
      </c>
      <c r="F388">
        <f>WEEKNUM(Слияние1[[#This Row],[Дата]],2)</f>
        <v>21</v>
      </c>
      <c r="G388">
        <v>19</v>
      </c>
      <c r="H388">
        <v>1741</v>
      </c>
      <c r="I388">
        <v>1597</v>
      </c>
    </row>
    <row r="389" spans="1:9" x14ac:dyDescent="0.45">
      <c r="A389" s="12">
        <v>43982</v>
      </c>
      <c r="B389" s="13" t="s">
        <v>19</v>
      </c>
      <c r="C389">
        <v>14808</v>
      </c>
      <c r="D389">
        <v>1336789.5</v>
      </c>
      <c r="E389" s="14">
        <f t="shared" si="6"/>
        <v>925.5</v>
      </c>
      <c r="F389">
        <f>WEEKNUM(Слияние1[[#This Row],[Дата]],2)</f>
        <v>22</v>
      </c>
      <c r="G389">
        <v>16</v>
      </c>
      <c r="H389">
        <v>917</v>
      </c>
      <c r="I389">
        <v>802</v>
      </c>
    </row>
    <row r="390" spans="1:9" x14ac:dyDescent="0.45">
      <c r="A390" s="12">
        <v>43969</v>
      </c>
      <c r="B390" s="13" t="s">
        <v>22</v>
      </c>
      <c r="C390">
        <v>196560</v>
      </c>
      <c r="D390">
        <v>19855122</v>
      </c>
      <c r="E390" s="14">
        <f t="shared" si="6"/>
        <v>3640</v>
      </c>
      <c r="F390">
        <f>WEEKNUM(Слияние1[[#This Row],[Дата]],2)</f>
        <v>21</v>
      </c>
      <c r="G390">
        <v>54</v>
      </c>
      <c r="H390">
        <v>12012</v>
      </c>
      <c r="I390">
        <v>11308</v>
      </c>
    </row>
    <row r="391" spans="1:9" x14ac:dyDescent="0.45">
      <c r="A391" s="12">
        <v>43969</v>
      </c>
      <c r="B391" s="13" t="s">
        <v>21</v>
      </c>
      <c r="C391">
        <v>201999</v>
      </c>
      <c r="D391">
        <v>20422435.5</v>
      </c>
      <c r="E391" s="14">
        <f t="shared" si="6"/>
        <v>3366.65</v>
      </c>
      <c r="F391">
        <f>WEEKNUM(Слияние1[[#This Row],[Дата]],2)</f>
        <v>21</v>
      </c>
      <c r="G391">
        <v>60</v>
      </c>
      <c r="H391">
        <v>12460</v>
      </c>
      <c r="I391">
        <v>11665</v>
      </c>
    </row>
    <row r="392" spans="1:9" x14ac:dyDescent="0.45">
      <c r="A392" s="12">
        <v>43981</v>
      </c>
      <c r="B392" s="13" t="s">
        <v>19</v>
      </c>
      <c r="C392">
        <v>17946</v>
      </c>
      <c r="D392">
        <v>1609090.5</v>
      </c>
      <c r="E392" s="14">
        <f t="shared" si="6"/>
        <v>1121.625</v>
      </c>
      <c r="F392">
        <f>WEEKNUM(Слияние1[[#This Row],[Дата]],2)</f>
        <v>22</v>
      </c>
      <c r="G392">
        <v>16</v>
      </c>
      <c r="H392">
        <v>1048</v>
      </c>
      <c r="I392">
        <v>918</v>
      </c>
    </row>
    <row r="393" spans="1:9" x14ac:dyDescent="0.45">
      <c r="A393" s="12">
        <v>43969</v>
      </c>
      <c r="B393" s="13" t="s">
        <v>13</v>
      </c>
      <c r="C393">
        <v>28668</v>
      </c>
      <c r="D393">
        <v>2588148</v>
      </c>
      <c r="E393" s="14">
        <f t="shared" si="6"/>
        <v>1508.8421052631579</v>
      </c>
      <c r="F393">
        <f>WEEKNUM(Слияние1[[#This Row],[Дата]],2)</f>
        <v>21</v>
      </c>
      <c r="G393">
        <v>19</v>
      </c>
      <c r="H393">
        <v>1858</v>
      </c>
      <c r="I393">
        <v>1648</v>
      </c>
    </row>
    <row r="394" spans="1:9" x14ac:dyDescent="0.45">
      <c r="A394" s="12">
        <v>43969</v>
      </c>
      <c r="B394" s="13" t="s">
        <v>23</v>
      </c>
      <c r="C394">
        <v>14497.5</v>
      </c>
      <c r="D394">
        <v>1230711</v>
      </c>
      <c r="E394" s="14">
        <f t="shared" si="6"/>
        <v>906.09375</v>
      </c>
      <c r="F394">
        <f>WEEKNUM(Слияние1[[#This Row],[Дата]],2)</f>
        <v>21</v>
      </c>
      <c r="G394">
        <v>16</v>
      </c>
      <c r="H394">
        <v>864</v>
      </c>
      <c r="I394">
        <v>765</v>
      </c>
    </row>
    <row r="395" spans="1:9" x14ac:dyDescent="0.45">
      <c r="A395" s="12">
        <v>43974</v>
      </c>
      <c r="B395" s="13" t="s">
        <v>20</v>
      </c>
      <c r="C395">
        <v>36997.5</v>
      </c>
      <c r="D395">
        <v>3089140.5</v>
      </c>
      <c r="E395" s="14">
        <f t="shared" si="6"/>
        <v>1947.2368421052631</v>
      </c>
      <c r="F395">
        <f>WEEKNUM(Слияние1[[#This Row],[Дата]],2)</f>
        <v>21</v>
      </c>
      <c r="G395">
        <v>19</v>
      </c>
      <c r="H395">
        <v>2195</v>
      </c>
      <c r="I395">
        <v>1999</v>
      </c>
    </row>
    <row r="396" spans="1:9" x14ac:dyDescent="0.45">
      <c r="A396" s="12">
        <v>43969</v>
      </c>
      <c r="B396" s="13" t="s">
        <v>18</v>
      </c>
      <c r="C396">
        <v>14290.5</v>
      </c>
      <c r="D396">
        <v>1246162.5</v>
      </c>
      <c r="E396" s="14">
        <f t="shared" si="6"/>
        <v>893.15625</v>
      </c>
      <c r="F396">
        <f>WEEKNUM(Слияние1[[#This Row],[Дата]],2)</f>
        <v>21</v>
      </c>
      <c r="G396">
        <v>16</v>
      </c>
      <c r="H396">
        <v>925</v>
      </c>
      <c r="I396">
        <v>816</v>
      </c>
    </row>
    <row r="397" spans="1:9" x14ac:dyDescent="0.45">
      <c r="A397" s="12">
        <v>43979</v>
      </c>
      <c r="B397" s="13" t="s">
        <v>19</v>
      </c>
      <c r="C397">
        <v>13864.5</v>
      </c>
      <c r="D397">
        <v>1239747</v>
      </c>
      <c r="E397" s="14">
        <f t="shared" si="6"/>
        <v>866.53125</v>
      </c>
      <c r="F397">
        <f>WEEKNUM(Слияние1[[#This Row],[Дата]],2)</f>
        <v>22</v>
      </c>
      <c r="G397">
        <v>16</v>
      </c>
      <c r="H397">
        <v>876</v>
      </c>
      <c r="I397">
        <v>762</v>
      </c>
    </row>
    <row r="398" spans="1:9" x14ac:dyDescent="0.45">
      <c r="A398" s="12">
        <v>43969</v>
      </c>
      <c r="B398" s="13" t="s">
        <v>19</v>
      </c>
      <c r="C398">
        <v>12450</v>
      </c>
      <c r="D398">
        <v>1115146.5</v>
      </c>
      <c r="E398" s="14">
        <f t="shared" si="6"/>
        <v>830</v>
      </c>
      <c r="F398">
        <f>WEEKNUM(Слияние1[[#This Row],[Дата]],2)</f>
        <v>21</v>
      </c>
      <c r="G398">
        <v>15</v>
      </c>
      <c r="H398">
        <v>729</v>
      </c>
      <c r="I398">
        <v>636</v>
      </c>
    </row>
    <row r="399" spans="1:9" x14ac:dyDescent="0.45">
      <c r="A399" s="12">
        <v>43976</v>
      </c>
      <c r="B399" s="13" t="s">
        <v>20</v>
      </c>
      <c r="C399">
        <v>28494</v>
      </c>
      <c r="D399">
        <v>2512803</v>
      </c>
      <c r="E399" s="14">
        <f t="shared" si="6"/>
        <v>1424.7</v>
      </c>
      <c r="F399">
        <f>WEEKNUM(Слияние1[[#This Row],[Дата]],2)</f>
        <v>22</v>
      </c>
      <c r="G399">
        <v>20</v>
      </c>
      <c r="H399">
        <v>1899</v>
      </c>
      <c r="I399">
        <v>1738</v>
      </c>
    </row>
    <row r="400" spans="1:9" x14ac:dyDescent="0.45">
      <c r="A400" s="12">
        <v>43969</v>
      </c>
      <c r="B400" s="13" t="s">
        <v>15</v>
      </c>
      <c r="C400">
        <v>355081.5</v>
      </c>
      <c r="D400">
        <v>36876888</v>
      </c>
      <c r="E400" s="14">
        <f t="shared" si="6"/>
        <v>2840.652</v>
      </c>
      <c r="F400">
        <f>WEEKNUM(Слияние1[[#This Row],[Дата]],2)</f>
        <v>21</v>
      </c>
      <c r="G400">
        <v>125</v>
      </c>
      <c r="H400">
        <v>20449</v>
      </c>
      <c r="I400">
        <v>19060</v>
      </c>
    </row>
    <row r="401" spans="1:9" x14ac:dyDescent="0.45">
      <c r="A401" s="12">
        <v>43969</v>
      </c>
      <c r="B401" s="13" t="s">
        <v>14</v>
      </c>
      <c r="C401">
        <v>273900</v>
      </c>
      <c r="D401">
        <v>27535284.147600003</v>
      </c>
      <c r="E401" s="14">
        <f t="shared" si="6"/>
        <v>2123.2558139534885</v>
      </c>
      <c r="F401">
        <f>WEEKNUM(Слияние1[[#This Row],[Дата]],2)</f>
        <v>21</v>
      </c>
      <c r="G401">
        <v>129</v>
      </c>
      <c r="H401">
        <v>16110</v>
      </c>
      <c r="I401">
        <v>14992</v>
      </c>
    </row>
    <row r="402" spans="1:9" x14ac:dyDescent="0.45">
      <c r="A402" s="12">
        <v>43969</v>
      </c>
      <c r="B402" s="13" t="s">
        <v>12</v>
      </c>
      <c r="C402">
        <v>11680.5</v>
      </c>
      <c r="D402">
        <v>936427.5</v>
      </c>
      <c r="E402" s="14">
        <f t="shared" si="6"/>
        <v>1168.05</v>
      </c>
      <c r="F402">
        <f>WEEKNUM(Слияние1[[#This Row],[Дата]],2)</f>
        <v>21</v>
      </c>
      <c r="G402">
        <v>10</v>
      </c>
      <c r="H402">
        <v>645</v>
      </c>
      <c r="I402">
        <v>565</v>
      </c>
    </row>
    <row r="403" spans="1:9" x14ac:dyDescent="0.45">
      <c r="A403" s="12">
        <v>43975</v>
      </c>
      <c r="B403" s="13" t="s">
        <v>20</v>
      </c>
      <c r="C403">
        <v>29824.5</v>
      </c>
      <c r="D403">
        <v>2526909</v>
      </c>
      <c r="E403" s="14">
        <f t="shared" si="6"/>
        <v>1569.7105263157894</v>
      </c>
      <c r="F403">
        <f>WEEKNUM(Слияние1[[#This Row],[Дата]],2)</f>
        <v>21</v>
      </c>
      <c r="G403">
        <v>19</v>
      </c>
      <c r="H403">
        <v>1868</v>
      </c>
      <c r="I403">
        <v>1706</v>
      </c>
    </row>
    <row r="404" spans="1:9" x14ac:dyDescent="0.45">
      <c r="A404" s="12">
        <v>43982</v>
      </c>
      <c r="B404" s="13" t="s">
        <v>20</v>
      </c>
      <c r="C404">
        <v>31372.5</v>
      </c>
      <c r="D404">
        <v>2794324.5</v>
      </c>
      <c r="E404" s="14">
        <f t="shared" si="6"/>
        <v>1493.9285714285713</v>
      </c>
      <c r="F404">
        <f>WEEKNUM(Слияние1[[#This Row],[Дата]],2)</f>
        <v>22</v>
      </c>
      <c r="G404">
        <v>21</v>
      </c>
      <c r="H404">
        <v>2056</v>
      </c>
      <c r="I404">
        <v>1879</v>
      </c>
    </row>
    <row r="405" spans="1:9" x14ac:dyDescent="0.45">
      <c r="A405" s="12">
        <v>43970</v>
      </c>
      <c r="B405" s="13" t="s">
        <v>22</v>
      </c>
      <c r="C405">
        <v>211453.5</v>
      </c>
      <c r="D405">
        <v>20590072.5</v>
      </c>
      <c r="E405" s="14">
        <f t="shared" si="6"/>
        <v>3915.8055555555557</v>
      </c>
      <c r="F405">
        <f>WEEKNUM(Слияние1[[#This Row],[Дата]],2)</f>
        <v>21</v>
      </c>
      <c r="G405">
        <v>54</v>
      </c>
      <c r="H405">
        <v>13070</v>
      </c>
      <c r="I405">
        <v>12244</v>
      </c>
    </row>
    <row r="406" spans="1:9" x14ac:dyDescent="0.45">
      <c r="A406" s="12">
        <v>43981</v>
      </c>
      <c r="B406" s="13" t="s">
        <v>20</v>
      </c>
      <c r="C406">
        <v>34681.5</v>
      </c>
      <c r="D406">
        <v>3005334</v>
      </c>
      <c r="E406" s="14">
        <f t="shared" si="6"/>
        <v>1734.075</v>
      </c>
      <c r="F406">
        <f>WEEKNUM(Слияние1[[#This Row],[Дата]],2)</f>
        <v>22</v>
      </c>
      <c r="G406">
        <v>20</v>
      </c>
      <c r="H406">
        <v>2174</v>
      </c>
      <c r="I406">
        <v>1957</v>
      </c>
    </row>
    <row r="407" spans="1:9" x14ac:dyDescent="0.45">
      <c r="A407" s="12">
        <v>43970</v>
      </c>
      <c r="B407" s="13" t="s">
        <v>21</v>
      </c>
      <c r="C407">
        <v>223597.5</v>
      </c>
      <c r="D407">
        <v>21945858</v>
      </c>
      <c r="E407" s="14">
        <f t="shared" si="6"/>
        <v>3726.625</v>
      </c>
      <c r="F407">
        <f>WEEKNUM(Слияние1[[#This Row],[Дата]],2)</f>
        <v>21</v>
      </c>
      <c r="G407">
        <v>60</v>
      </c>
      <c r="H407">
        <v>13867</v>
      </c>
      <c r="I407">
        <v>12987</v>
      </c>
    </row>
    <row r="408" spans="1:9" x14ac:dyDescent="0.45">
      <c r="A408" s="12">
        <v>43979</v>
      </c>
      <c r="B408" s="13" t="s">
        <v>20</v>
      </c>
      <c r="C408">
        <v>28197</v>
      </c>
      <c r="D408">
        <v>2559211.5</v>
      </c>
      <c r="E408" s="14">
        <f t="shared" si="6"/>
        <v>1409.85</v>
      </c>
      <c r="F408">
        <f>WEEKNUM(Слияние1[[#This Row],[Дата]],2)</f>
        <v>22</v>
      </c>
      <c r="G408">
        <v>20</v>
      </c>
      <c r="H408">
        <v>1875</v>
      </c>
      <c r="I408">
        <v>1701</v>
      </c>
    </row>
    <row r="409" spans="1:9" x14ac:dyDescent="0.45">
      <c r="A409" s="12">
        <v>43970</v>
      </c>
      <c r="B409" s="13" t="s">
        <v>23</v>
      </c>
      <c r="C409">
        <v>14427</v>
      </c>
      <c r="D409">
        <v>1126810.5</v>
      </c>
      <c r="E409" s="14">
        <f t="shared" si="6"/>
        <v>848.64705882352939</v>
      </c>
      <c r="F409">
        <f>WEEKNUM(Слияние1[[#This Row],[Дата]],2)</f>
        <v>21</v>
      </c>
      <c r="G409">
        <v>17</v>
      </c>
      <c r="H409">
        <v>857</v>
      </c>
      <c r="I409">
        <v>757</v>
      </c>
    </row>
    <row r="410" spans="1:9" x14ac:dyDescent="0.45">
      <c r="A410" s="12">
        <v>43977</v>
      </c>
      <c r="B410" s="13" t="s">
        <v>21</v>
      </c>
      <c r="C410">
        <v>244905</v>
      </c>
      <c r="D410">
        <v>25163431.5</v>
      </c>
      <c r="E410" s="14">
        <f t="shared" si="6"/>
        <v>4150.9322033898306</v>
      </c>
      <c r="F410">
        <f>WEEKNUM(Слияние1[[#This Row],[Дата]],2)</f>
        <v>22</v>
      </c>
      <c r="G410">
        <v>59</v>
      </c>
      <c r="H410">
        <v>15369</v>
      </c>
      <c r="I410">
        <v>14299</v>
      </c>
    </row>
    <row r="411" spans="1:9" x14ac:dyDescent="0.45">
      <c r="A411" s="12">
        <v>43972</v>
      </c>
      <c r="B411" s="13" t="s">
        <v>21</v>
      </c>
      <c r="C411">
        <v>224233.5</v>
      </c>
      <c r="D411">
        <v>22253295</v>
      </c>
      <c r="E411" s="14">
        <f t="shared" si="6"/>
        <v>3737.2249999999999</v>
      </c>
      <c r="F411">
        <f>WEEKNUM(Слияние1[[#This Row],[Дата]],2)</f>
        <v>21</v>
      </c>
      <c r="G411">
        <v>60</v>
      </c>
      <c r="H411">
        <v>14005</v>
      </c>
      <c r="I411">
        <v>13002</v>
      </c>
    </row>
    <row r="412" spans="1:9" x14ac:dyDescent="0.45">
      <c r="A412" s="12">
        <v>43971</v>
      </c>
      <c r="B412" s="13" t="s">
        <v>21</v>
      </c>
      <c r="C412">
        <v>219622.5</v>
      </c>
      <c r="D412">
        <v>21959286</v>
      </c>
      <c r="E412" s="14">
        <f t="shared" si="6"/>
        <v>3660.375</v>
      </c>
      <c r="F412">
        <f>WEEKNUM(Слияние1[[#This Row],[Дата]],2)</f>
        <v>21</v>
      </c>
      <c r="G412">
        <v>60</v>
      </c>
      <c r="H412">
        <v>13792</v>
      </c>
      <c r="I412">
        <v>12834</v>
      </c>
    </row>
    <row r="413" spans="1:9" x14ac:dyDescent="0.45">
      <c r="A413" s="12">
        <v>43971</v>
      </c>
      <c r="B413" s="13" t="s">
        <v>22</v>
      </c>
      <c r="C413">
        <v>214885.5</v>
      </c>
      <c r="D413">
        <v>21411349.5</v>
      </c>
      <c r="E413" s="14">
        <f t="shared" si="6"/>
        <v>3979.3611111111113</v>
      </c>
      <c r="F413">
        <f>WEEKNUM(Слияние1[[#This Row],[Дата]],2)</f>
        <v>21</v>
      </c>
      <c r="G413">
        <v>54</v>
      </c>
      <c r="H413">
        <v>13298</v>
      </c>
      <c r="I413">
        <v>12428</v>
      </c>
    </row>
    <row r="414" spans="1:9" x14ac:dyDescent="0.45">
      <c r="A414" s="12">
        <v>43971</v>
      </c>
      <c r="B414" s="13" t="s">
        <v>23</v>
      </c>
      <c r="C414">
        <v>14928</v>
      </c>
      <c r="D414">
        <v>1217749.5</v>
      </c>
      <c r="E414" s="14">
        <f t="shared" si="6"/>
        <v>878.11764705882354</v>
      </c>
      <c r="F414">
        <f>WEEKNUM(Слияние1[[#This Row],[Дата]],2)</f>
        <v>21</v>
      </c>
      <c r="G414">
        <v>17</v>
      </c>
      <c r="H414">
        <v>890</v>
      </c>
      <c r="I414">
        <v>794</v>
      </c>
    </row>
    <row r="415" spans="1:9" x14ac:dyDescent="0.45">
      <c r="A415" s="12">
        <v>43974</v>
      </c>
      <c r="B415" s="13" t="s">
        <v>21</v>
      </c>
      <c r="C415">
        <v>292018.5</v>
      </c>
      <c r="D415">
        <v>28590910.5</v>
      </c>
      <c r="E415" s="14">
        <f t="shared" si="6"/>
        <v>4866.9750000000004</v>
      </c>
      <c r="F415">
        <f>WEEKNUM(Слияние1[[#This Row],[Дата]],2)</f>
        <v>21</v>
      </c>
      <c r="G415">
        <v>60</v>
      </c>
      <c r="H415">
        <v>17295</v>
      </c>
      <c r="I415">
        <v>16010</v>
      </c>
    </row>
    <row r="416" spans="1:9" x14ac:dyDescent="0.45">
      <c r="A416" s="12">
        <v>43976</v>
      </c>
      <c r="B416" s="13" t="s">
        <v>21</v>
      </c>
      <c r="C416">
        <v>198751.5</v>
      </c>
      <c r="D416">
        <v>20582743.5</v>
      </c>
      <c r="E416" s="14">
        <f t="shared" si="6"/>
        <v>3368.6694915254238</v>
      </c>
      <c r="F416">
        <f>WEEKNUM(Слияние1[[#This Row],[Дата]],2)</f>
        <v>22</v>
      </c>
      <c r="G416">
        <v>59</v>
      </c>
      <c r="H416">
        <v>12983</v>
      </c>
      <c r="I416">
        <v>12056</v>
      </c>
    </row>
    <row r="417" spans="1:9" x14ac:dyDescent="0.45">
      <c r="A417" s="12">
        <v>43975</v>
      </c>
      <c r="B417" s="13" t="s">
        <v>21</v>
      </c>
      <c r="C417">
        <v>200029.5</v>
      </c>
      <c r="D417">
        <v>19959801</v>
      </c>
      <c r="E417" s="14">
        <f t="shared" si="6"/>
        <v>3333.8249999999998</v>
      </c>
      <c r="F417">
        <f>WEEKNUM(Слияние1[[#This Row],[Дата]],2)</f>
        <v>21</v>
      </c>
      <c r="G417">
        <v>60</v>
      </c>
      <c r="H417">
        <v>12822</v>
      </c>
      <c r="I417">
        <v>11916</v>
      </c>
    </row>
    <row r="418" spans="1:9" x14ac:dyDescent="0.45">
      <c r="A418" s="12">
        <v>43972</v>
      </c>
      <c r="B418" s="13" t="s">
        <v>22</v>
      </c>
      <c r="C418">
        <v>213640.5</v>
      </c>
      <c r="D418">
        <v>21042673.5</v>
      </c>
      <c r="E418" s="14">
        <f t="shared" si="6"/>
        <v>3956.3055555555557</v>
      </c>
      <c r="F418">
        <f>WEEKNUM(Слияние1[[#This Row],[Дата]],2)</f>
        <v>21</v>
      </c>
      <c r="G418">
        <v>54</v>
      </c>
      <c r="H418">
        <v>13240</v>
      </c>
      <c r="I418">
        <v>12360</v>
      </c>
    </row>
    <row r="419" spans="1:9" x14ac:dyDescent="0.45">
      <c r="A419" s="12">
        <v>43972</v>
      </c>
      <c r="B419" s="13" t="s">
        <v>23</v>
      </c>
      <c r="C419">
        <v>14182.5</v>
      </c>
      <c r="D419">
        <v>1172574</v>
      </c>
      <c r="E419" s="14">
        <f t="shared" si="6"/>
        <v>787.91666666666663</v>
      </c>
      <c r="F419">
        <f>WEEKNUM(Слияние1[[#This Row],[Дата]],2)</f>
        <v>21</v>
      </c>
      <c r="G419">
        <v>18</v>
      </c>
      <c r="H419">
        <v>888</v>
      </c>
      <c r="I419">
        <v>786</v>
      </c>
    </row>
    <row r="420" spans="1:9" x14ac:dyDescent="0.45">
      <c r="A420" s="12">
        <v>43977</v>
      </c>
      <c r="B420" s="13" t="s">
        <v>22</v>
      </c>
      <c r="C420">
        <v>232369.5</v>
      </c>
      <c r="D420">
        <v>23856345</v>
      </c>
      <c r="E420" s="14">
        <f t="shared" si="6"/>
        <v>4303.1388888888887</v>
      </c>
      <c r="F420">
        <f>WEEKNUM(Слияние1[[#This Row],[Дата]],2)</f>
        <v>22</v>
      </c>
      <c r="G420">
        <v>54</v>
      </c>
      <c r="H420">
        <v>14482</v>
      </c>
      <c r="I420">
        <v>13510</v>
      </c>
    </row>
    <row r="421" spans="1:9" x14ac:dyDescent="0.45">
      <c r="A421" s="12">
        <v>43973</v>
      </c>
      <c r="B421" s="13" t="s">
        <v>16</v>
      </c>
      <c r="C421">
        <v>75820.5</v>
      </c>
      <c r="D421">
        <v>5943489</v>
      </c>
      <c r="E421" s="14">
        <f t="shared" si="6"/>
        <v>2106.125</v>
      </c>
      <c r="F421">
        <f>WEEKNUM(Слияние1[[#This Row],[Дата]],2)</f>
        <v>21</v>
      </c>
      <c r="G421">
        <v>36</v>
      </c>
      <c r="H421">
        <v>4857</v>
      </c>
      <c r="I421">
        <v>4456</v>
      </c>
    </row>
    <row r="422" spans="1:9" x14ac:dyDescent="0.45">
      <c r="A422" s="12">
        <v>43973</v>
      </c>
      <c r="B422" s="13" t="s">
        <v>11</v>
      </c>
      <c r="C422">
        <v>97963.5</v>
      </c>
      <c r="D422">
        <v>7728465</v>
      </c>
      <c r="E422" s="14">
        <f t="shared" si="6"/>
        <v>3160.1129032258063</v>
      </c>
      <c r="F422">
        <f>WEEKNUM(Слияние1[[#This Row],[Дата]],2)</f>
        <v>21</v>
      </c>
      <c r="G422">
        <v>31</v>
      </c>
      <c r="H422">
        <v>5965</v>
      </c>
      <c r="I422">
        <v>5533</v>
      </c>
    </row>
    <row r="423" spans="1:9" x14ac:dyDescent="0.45">
      <c r="A423" s="12">
        <v>43973</v>
      </c>
      <c r="B423" s="13" t="s">
        <v>17</v>
      </c>
      <c r="C423">
        <v>53838</v>
      </c>
      <c r="D423">
        <v>4840833</v>
      </c>
      <c r="E423" s="14">
        <f t="shared" si="6"/>
        <v>2563.7142857142858</v>
      </c>
      <c r="F423">
        <f>WEEKNUM(Слияние1[[#This Row],[Дата]],2)</f>
        <v>21</v>
      </c>
      <c r="G423">
        <v>21</v>
      </c>
      <c r="H423">
        <v>2861</v>
      </c>
      <c r="I423">
        <v>2612</v>
      </c>
    </row>
    <row r="424" spans="1:9" x14ac:dyDescent="0.45">
      <c r="A424" s="12">
        <v>43982</v>
      </c>
      <c r="B424" s="13" t="s">
        <v>21</v>
      </c>
      <c r="C424">
        <v>215277</v>
      </c>
      <c r="D424">
        <v>21585316.5</v>
      </c>
      <c r="E424" s="14">
        <f t="shared" si="6"/>
        <v>3648.7627118644068</v>
      </c>
      <c r="F424">
        <f>WEEKNUM(Слияние1[[#This Row],[Дата]],2)</f>
        <v>22</v>
      </c>
      <c r="G424">
        <v>59</v>
      </c>
      <c r="H424">
        <v>13684</v>
      </c>
      <c r="I424">
        <v>12690</v>
      </c>
    </row>
    <row r="425" spans="1:9" x14ac:dyDescent="0.45">
      <c r="A425" s="12">
        <v>43973</v>
      </c>
      <c r="B425" s="13" t="s">
        <v>10</v>
      </c>
      <c r="C425">
        <v>36031.5</v>
      </c>
      <c r="D425">
        <v>3091069.5</v>
      </c>
      <c r="E425" s="14">
        <f t="shared" si="6"/>
        <v>1715.7857142857142</v>
      </c>
      <c r="F425">
        <f>WEEKNUM(Слияние1[[#This Row],[Дата]],2)</f>
        <v>21</v>
      </c>
      <c r="G425">
        <v>21</v>
      </c>
      <c r="H425">
        <v>2046</v>
      </c>
      <c r="I425">
        <v>1853</v>
      </c>
    </row>
    <row r="426" spans="1:9" x14ac:dyDescent="0.45">
      <c r="A426" s="12">
        <v>43973</v>
      </c>
      <c r="B426" s="13" t="s">
        <v>20</v>
      </c>
      <c r="C426">
        <v>30781.5</v>
      </c>
      <c r="D426">
        <v>2540715</v>
      </c>
      <c r="E426" s="14">
        <f t="shared" si="6"/>
        <v>1620.078947368421</v>
      </c>
      <c r="F426">
        <f>WEEKNUM(Слияние1[[#This Row],[Дата]],2)</f>
        <v>21</v>
      </c>
      <c r="G426">
        <v>19</v>
      </c>
      <c r="H426">
        <v>1859</v>
      </c>
      <c r="I426">
        <v>1697</v>
      </c>
    </row>
    <row r="427" spans="1:9" x14ac:dyDescent="0.45">
      <c r="A427" s="12">
        <v>43981</v>
      </c>
      <c r="B427" s="13" t="s">
        <v>21</v>
      </c>
      <c r="C427">
        <v>246414</v>
      </c>
      <c r="D427">
        <v>24527245.5</v>
      </c>
      <c r="E427" s="14">
        <f t="shared" si="6"/>
        <v>4176.5084745762715</v>
      </c>
      <c r="F427">
        <f>WEEKNUM(Слияние1[[#This Row],[Дата]],2)</f>
        <v>22</v>
      </c>
      <c r="G427">
        <v>59</v>
      </c>
      <c r="H427">
        <v>15030</v>
      </c>
      <c r="I427">
        <v>13956</v>
      </c>
    </row>
    <row r="428" spans="1:9" x14ac:dyDescent="0.45">
      <c r="A428" s="12">
        <v>43973</v>
      </c>
      <c r="B428" s="13" t="s">
        <v>22</v>
      </c>
      <c r="C428">
        <v>214428</v>
      </c>
      <c r="D428">
        <v>20812585.5</v>
      </c>
      <c r="E428" s="14">
        <f t="shared" si="6"/>
        <v>3970.8888888888887</v>
      </c>
      <c r="F428">
        <f>WEEKNUM(Слияние1[[#This Row],[Дата]],2)</f>
        <v>21</v>
      </c>
      <c r="G428">
        <v>54</v>
      </c>
      <c r="H428">
        <v>13014</v>
      </c>
      <c r="I428">
        <v>12095</v>
      </c>
    </row>
    <row r="429" spans="1:9" x14ac:dyDescent="0.45">
      <c r="A429" s="12">
        <v>43973</v>
      </c>
      <c r="B429" s="13" t="s">
        <v>21</v>
      </c>
      <c r="C429">
        <v>228334.5</v>
      </c>
      <c r="D429">
        <v>22380772.5</v>
      </c>
      <c r="E429" s="14">
        <f t="shared" si="6"/>
        <v>3805.5749999999998</v>
      </c>
      <c r="F429">
        <f>WEEKNUM(Слияние1[[#This Row],[Дата]],2)</f>
        <v>21</v>
      </c>
      <c r="G429">
        <v>60</v>
      </c>
      <c r="H429">
        <v>14050</v>
      </c>
      <c r="I429">
        <v>13027</v>
      </c>
    </row>
    <row r="430" spans="1:9" x14ac:dyDescent="0.45">
      <c r="A430" s="12">
        <v>43974</v>
      </c>
      <c r="B430" s="13" t="s">
        <v>22</v>
      </c>
      <c r="C430">
        <v>275793</v>
      </c>
      <c r="D430">
        <v>26806626</v>
      </c>
      <c r="E430" s="14">
        <f t="shared" si="6"/>
        <v>5107.2777777777774</v>
      </c>
      <c r="F430">
        <f>WEEKNUM(Слияние1[[#This Row],[Дата]],2)</f>
        <v>21</v>
      </c>
      <c r="G430">
        <v>54</v>
      </c>
      <c r="H430">
        <v>16221</v>
      </c>
      <c r="I430">
        <v>15065</v>
      </c>
    </row>
    <row r="431" spans="1:9" x14ac:dyDescent="0.45">
      <c r="A431" s="12">
        <v>43973</v>
      </c>
      <c r="B431" s="13" t="s">
        <v>13</v>
      </c>
      <c r="C431">
        <v>38074.5</v>
      </c>
      <c r="D431">
        <v>3414180</v>
      </c>
      <c r="E431" s="14">
        <f t="shared" si="6"/>
        <v>1903.7249999999999</v>
      </c>
      <c r="F431">
        <f>WEEKNUM(Слияние1[[#This Row],[Дата]],2)</f>
        <v>21</v>
      </c>
      <c r="G431">
        <v>20</v>
      </c>
      <c r="H431">
        <v>2306</v>
      </c>
      <c r="I431">
        <v>2054</v>
      </c>
    </row>
    <row r="432" spans="1:9" x14ac:dyDescent="0.45">
      <c r="A432" s="12">
        <v>43979</v>
      </c>
      <c r="B432" s="13" t="s">
        <v>21</v>
      </c>
      <c r="C432">
        <v>199753.5</v>
      </c>
      <c r="D432">
        <v>20535733.5</v>
      </c>
      <c r="E432" s="14">
        <f t="shared" si="6"/>
        <v>3329.2249999999999</v>
      </c>
      <c r="F432">
        <f>WEEKNUM(Слияние1[[#This Row],[Дата]],2)</f>
        <v>22</v>
      </c>
      <c r="G432">
        <v>60</v>
      </c>
      <c r="H432">
        <v>12854</v>
      </c>
      <c r="I432">
        <v>11954</v>
      </c>
    </row>
    <row r="433" spans="1:9" x14ac:dyDescent="0.45">
      <c r="A433" s="12">
        <v>43973</v>
      </c>
      <c r="B433" s="13" t="s">
        <v>23</v>
      </c>
      <c r="C433">
        <v>17008.5</v>
      </c>
      <c r="D433">
        <v>1398771</v>
      </c>
      <c r="E433" s="14">
        <f t="shared" si="6"/>
        <v>944.91666666666663</v>
      </c>
      <c r="F433">
        <f>WEEKNUM(Слияние1[[#This Row],[Дата]],2)</f>
        <v>21</v>
      </c>
      <c r="G433">
        <v>18</v>
      </c>
      <c r="H433">
        <v>985</v>
      </c>
      <c r="I433">
        <v>861</v>
      </c>
    </row>
    <row r="434" spans="1:9" x14ac:dyDescent="0.45">
      <c r="A434" s="12">
        <v>43976</v>
      </c>
      <c r="B434" s="13" t="s">
        <v>22</v>
      </c>
      <c r="C434">
        <v>192948</v>
      </c>
      <c r="D434">
        <v>19806927</v>
      </c>
      <c r="E434" s="14">
        <f t="shared" si="6"/>
        <v>3573.1111111111113</v>
      </c>
      <c r="F434">
        <f>WEEKNUM(Слияние1[[#This Row],[Дата]],2)</f>
        <v>22</v>
      </c>
      <c r="G434">
        <v>54</v>
      </c>
      <c r="H434">
        <v>12336</v>
      </c>
      <c r="I434">
        <v>11519</v>
      </c>
    </row>
    <row r="435" spans="1:9" x14ac:dyDescent="0.45">
      <c r="A435" s="12">
        <v>43973</v>
      </c>
      <c r="B435" s="13" t="s">
        <v>18</v>
      </c>
      <c r="C435">
        <v>21483</v>
      </c>
      <c r="D435">
        <v>1774329</v>
      </c>
      <c r="E435" s="14">
        <f t="shared" si="6"/>
        <v>1263.7058823529412</v>
      </c>
      <c r="F435">
        <f>WEEKNUM(Слияние1[[#This Row],[Дата]],2)</f>
        <v>21</v>
      </c>
      <c r="G435">
        <v>17</v>
      </c>
      <c r="H435">
        <v>1268</v>
      </c>
      <c r="I435">
        <v>1129</v>
      </c>
    </row>
    <row r="436" spans="1:9" x14ac:dyDescent="0.45">
      <c r="A436" s="12">
        <v>43973</v>
      </c>
      <c r="B436" s="13" t="s">
        <v>19</v>
      </c>
      <c r="C436">
        <v>15802.5</v>
      </c>
      <c r="D436">
        <v>1411909.5</v>
      </c>
      <c r="E436" s="14">
        <f t="shared" si="6"/>
        <v>1053.5</v>
      </c>
      <c r="F436">
        <f>WEEKNUM(Слияние1[[#This Row],[Дата]],2)</f>
        <v>21</v>
      </c>
      <c r="G436">
        <v>15</v>
      </c>
      <c r="H436">
        <v>903</v>
      </c>
      <c r="I436">
        <v>792</v>
      </c>
    </row>
    <row r="437" spans="1:9" x14ac:dyDescent="0.45">
      <c r="A437" s="12">
        <v>43973</v>
      </c>
      <c r="B437" s="13" t="s">
        <v>15</v>
      </c>
      <c r="C437">
        <v>393018</v>
      </c>
      <c r="D437">
        <v>39498373.5</v>
      </c>
      <c r="E437" s="14">
        <f t="shared" si="6"/>
        <v>3144.1439999999998</v>
      </c>
      <c r="F437">
        <f>WEEKNUM(Слияние1[[#This Row],[Дата]],2)</f>
        <v>21</v>
      </c>
      <c r="G437">
        <v>125</v>
      </c>
      <c r="H437">
        <v>21427</v>
      </c>
      <c r="I437">
        <v>19799</v>
      </c>
    </row>
    <row r="438" spans="1:9" x14ac:dyDescent="0.45">
      <c r="A438" s="12">
        <v>43973</v>
      </c>
      <c r="B438" s="13" t="s">
        <v>14</v>
      </c>
      <c r="C438">
        <v>304092</v>
      </c>
      <c r="D438">
        <v>29465769</v>
      </c>
      <c r="E438" s="14">
        <f t="shared" si="6"/>
        <v>2357.3023255813955</v>
      </c>
      <c r="F438">
        <f>WEEKNUM(Слияние1[[#This Row],[Дата]],2)</f>
        <v>21</v>
      </c>
      <c r="G438">
        <v>129</v>
      </c>
      <c r="H438">
        <v>17088</v>
      </c>
      <c r="I438">
        <v>15804</v>
      </c>
    </row>
    <row r="439" spans="1:9" x14ac:dyDescent="0.45">
      <c r="A439" s="12">
        <v>43973</v>
      </c>
      <c r="B439" s="13" t="s">
        <v>12</v>
      </c>
      <c r="C439">
        <v>18036</v>
      </c>
      <c r="D439">
        <v>1455049.5</v>
      </c>
      <c r="E439" s="14">
        <f t="shared" si="6"/>
        <v>1803.6</v>
      </c>
      <c r="F439">
        <f>WEEKNUM(Слияние1[[#This Row],[Дата]],2)</f>
        <v>21</v>
      </c>
      <c r="G439">
        <v>10</v>
      </c>
      <c r="H439">
        <v>965</v>
      </c>
      <c r="I439">
        <v>861</v>
      </c>
    </row>
    <row r="440" spans="1:9" x14ac:dyDescent="0.45">
      <c r="A440" s="12">
        <v>43975</v>
      </c>
      <c r="B440" s="13" t="s">
        <v>22</v>
      </c>
      <c r="C440">
        <v>193719</v>
      </c>
      <c r="D440">
        <v>19071117</v>
      </c>
      <c r="E440" s="14">
        <f t="shared" si="6"/>
        <v>3587.3888888888887</v>
      </c>
      <c r="F440">
        <f>WEEKNUM(Слияние1[[#This Row],[Дата]],2)</f>
        <v>21</v>
      </c>
      <c r="G440">
        <v>54</v>
      </c>
      <c r="H440">
        <v>12211</v>
      </c>
      <c r="I440">
        <v>11427</v>
      </c>
    </row>
    <row r="441" spans="1:9" x14ac:dyDescent="0.45">
      <c r="A441" s="12">
        <v>43982</v>
      </c>
      <c r="B441" s="13" t="s">
        <v>22</v>
      </c>
      <c r="C441">
        <v>206758.5</v>
      </c>
      <c r="D441">
        <v>20717248.5</v>
      </c>
      <c r="E441" s="14">
        <f t="shared" si="6"/>
        <v>3828.8611111111113</v>
      </c>
      <c r="F441">
        <f>WEEKNUM(Слияние1[[#This Row],[Дата]],2)</f>
        <v>22</v>
      </c>
      <c r="G441">
        <v>54</v>
      </c>
      <c r="H441">
        <v>13106</v>
      </c>
      <c r="I441">
        <v>12164</v>
      </c>
    </row>
    <row r="442" spans="1:9" x14ac:dyDescent="0.45">
      <c r="A442" s="12">
        <v>43981</v>
      </c>
      <c r="B442" s="13" t="s">
        <v>22</v>
      </c>
      <c r="C442">
        <v>244734</v>
      </c>
      <c r="D442">
        <v>24151980</v>
      </c>
      <c r="E442" s="14">
        <f t="shared" si="6"/>
        <v>4532.1111111111113</v>
      </c>
      <c r="F442">
        <f>WEEKNUM(Слияние1[[#This Row],[Дата]],2)</f>
        <v>22</v>
      </c>
      <c r="G442">
        <v>54</v>
      </c>
      <c r="H442">
        <v>14590</v>
      </c>
      <c r="I442">
        <v>13551</v>
      </c>
    </row>
    <row r="443" spans="1:9" x14ac:dyDescent="0.45">
      <c r="A443" s="12">
        <v>43979</v>
      </c>
      <c r="B443" s="13" t="s">
        <v>22</v>
      </c>
      <c r="C443">
        <v>191641.5</v>
      </c>
      <c r="D443">
        <v>19549036.5</v>
      </c>
      <c r="E443" s="14">
        <f t="shared" si="6"/>
        <v>3548.9166666666665</v>
      </c>
      <c r="F443">
        <f>WEEKNUM(Слияние1[[#This Row],[Дата]],2)</f>
        <v>22</v>
      </c>
      <c r="G443">
        <v>54</v>
      </c>
      <c r="H443">
        <v>12409</v>
      </c>
      <c r="I443">
        <v>11582</v>
      </c>
    </row>
    <row r="444" spans="1:9" x14ac:dyDescent="0.45">
      <c r="A444" s="12">
        <v>43974</v>
      </c>
      <c r="B444" s="13" t="s">
        <v>23</v>
      </c>
      <c r="C444">
        <v>17943</v>
      </c>
      <c r="D444">
        <v>1457391</v>
      </c>
      <c r="E444" s="14">
        <f t="shared" si="6"/>
        <v>996.83333333333337</v>
      </c>
      <c r="F444">
        <f>WEEKNUM(Слияние1[[#This Row],[Дата]],2)</f>
        <v>21</v>
      </c>
      <c r="G444">
        <v>18</v>
      </c>
      <c r="H444">
        <v>1031</v>
      </c>
      <c r="I444">
        <v>918</v>
      </c>
    </row>
    <row r="445" spans="1:9" x14ac:dyDescent="0.45">
      <c r="A445" s="12">
        <v>43977</v>
      </c>
      <c r="B445" s="13" t="s">
        <v>24</v>
      </c>
      <c r="C445">
        <v>10437</v>
      </c>
      <c r="D445">
        <v>833815.5</v>
      </c>
      <c r="E445" s="14">
        <f t="shared" si="6"/>
        <v>1491</v>
      </c>
      <c r="F445">
        <f>WEEKNUM(Слияние1[[#This Row],[Дата]],2)</f>
        <v>22</v>
      </c>
      <c r="G445">
        <v>7</v>
      </c>
      <c r="H445">
        <v>577</v>
      </c>
      <c r="I445">
        <v>389</v>
      </c>
    </row>
    <row r="446" spans="1:9" x14ac:dyDescent="0.45">
      <c r="A446" s="12">
        <v>43976</v>
      </c>
      <c r="B446" s="13" t="s">
        <v>23</v>
      </c>
      <c r="C446">
        <v>15807</v>
      </c>
      <c r="D446">
        <v>1326705</v>
      </c>
      <c r="E446" s="14">
        <f t="shared" si="6"/>
        <v>878.16666666666663</v>
      </c>
      <c r="F446">
        <f>WEEKNUM(Слияние1[[#This Row],[Дата]],2)</f>
        <v>22</v>
      </c>
      <c r="G446">
        <v>18</v>
      </c>
      <c r="H446">
        <v>989</v>
      </c>
      <c r="I446">
        <v>887</v>
      </c>
    </row>
    <row r="447" spans="1:9" x14ac:dyDescent="0.45">
      <c r="A447" s="12">
        <v>43975</v>
      </c>
      <c r="B447" s="13" t="s">
        <v>23</v>
      </c>
      <c r="C447">
        <v>17197.5</v>
      </c>
      <c r="D447">
        <v>1386262.5</v>
      </c>
      <c r="E447" s="14">
        <f t="shared" si="6"/>
        <v>955.41666666666663</v>
      </c>
      <c r="F447">
        <f>WEEKNUM(Слияние1[[#This Row],[Дата]],2)</f>
        <v>21</v>
      </c>
      <c r="G447">
        <v>18</v>
      </c>
      <c r="H447">
        <v>1006</v>
      </c>
      <c r="I447">
        <v>904</v>
      </c>
    </row>
    <row r="448" spans="1:9" x14ac:dyDescent="0.45">
      <c r="A448" s="12">
        <v>43977</v>
      </c>
      <c r="B448" s="13" t="s">
        <v>23</v>
      </c>
      <c r="C448">
        <v>14419.5</v>
      </c>
      <c r="D448">
        <v>1210456.5</v>
      </c>
      <c r="E448" s="14">
        <f t="shared" si="6"/>
        <v>801.08333333333337</v>
      </c>
      <c r="F448">
        <f>WEEKNUM(Слияние1[[#This Row],[Дата]],2)</f>
        <v>22</v>
      </c>
      <c r="G448">
        <v>18</v>
      </c>
      <c r="H448">
        <v>914</v>
      </c>
      <c r="I448">
        <v>804</v>
      </c>
    </row>
    <row r="449" spans="1:9" x14ac:dyDescent="0.45">
      <c r="A449" s="12">
        <v>43983</v>
      </c>
      <c r="B449" s="13" t="s">
        <v>9</v>
      </c>
      <c r="C449">
        <v>7816.5</v>
      </c>
      <c r="D449">
        <v>636345</v>
      </c>
      <c r="E449" s="14">
        <f t="shared" si="6"/>
        <v>521.1</v>
      </c>
      <c r="F449">
        <f>WEEKNUM(Слияние1[[#This Row],[Дата]],2)</f>
        <v>23</v>
      </c>
      <c r="G449">
        <v>15</v>
      </c>
      <c r="H449">
        <v>453</v>
      </c>
      <c r="I449">
        <v>370</v>
      </c>
    </row>
    <row r="450" spans="1:9" x14ac:dyDescent="0.45">
      <c r="A450" s="12">
        <v>43982</v>
      </c>
      <c r="B450" s="13" t="s">
        <v>25</v>
      </c>
      <c r="C450">
        <v>6409.5</v>
      </c>
      <c r="D450">
        <v>493893</v>
      </c>
      <c r="E450" s="14">
        <f t="shared" si="6"/>
        <v>712.16666666666663</v>
      </c>
      <c r="F450">
        <f>WEEKNUM(Слияние1[[#This Row],[Дата]],2)</f>
        <v>22</v>
      </c>
      <c r="G450">
        <v>9</v>
      </c>
      <c r="H450">
        <v>345</v>
      </c>
      <c r="I450">
        <v>255</v>
      </c>
    </row>
    <row r="451" spans="1:9" x14ac:dyDescent="0.45">
      <c r="A451" s="12">
        <v>43981</v>
      </c>
      <c r="B451" s="13" t="s">
        <v>24</v>
      </c>
      <c r="C451">
        <v>11220</v>
      </c>
      <c r="D451">
        <v>928675.5</v>
      </c>
      <c r="E451" s="14">
        <f t="shared" ref="E451:E505" si="7">C451/G451</f>
        <v>1602.8571428571429</v>
      </c>
      <c r="F451">
        <f>WEEKNUM(Слияние1[[#This Row],[Дата]],2)</f>
        <v>22</v>
      </c>
      <c r="G451">
        <v>7</v>
      </c>
      <c r="H451">
        <v>532</v>
      </c>
      <c r="I451">
        <v>449</v>
      </c>
    </row>
    <row r="452" spans="1:9" x14ac:dyDescent="0.45">
      <c r="A452" s="12">
        <v>43980</v>
      </c>
      <c r="B452" s="13" t="s">
        <v>9</v>
      </c>
      <c r="C452">
        <v>8350.5</v>
      </c>
      <c r="D452">
        <v>651237</v>
      </c>
      <c r="E452" s="14">
        <f t="shared" si="7"/>
        <v>556.70000000000005</v>
      </c>
      <c r="F452">
        <f>WEEKNUM(Слияние1[[#This Row],[Дата]],2)</f>
        <v>22</v>
      </c>
      <c r="G452">
        <v>15</v>
      </c>
      <c r="H452">
        <v>400</v>
      </c>
      <c r="I452">
        <v>329</v>
      </c>
    </row>
    <row r="453" spans="1:9" x14ac:dyDescent="0.45">
      <c r="A453" s="12">
        <v>43979</v>
      </c>
      <c r="B453" s="13" t="s">
        <v>24</v>
      </c>
      <c r="C453">
        <v>8428.5</v>
      </c>
      <c r="D453">
        <v>694669.5</v>
      </c>
      <c r="E453" s="14">
        <f t="shared" si="7"/>
        <v>1204.0714285714287</v>
      </c>
      <c r="F453">
        <f>WEEKNUM(Слияние1[[#This Row],[Дата]],2)</f>
        <v>22</v>
      </c>
      <c r="G453">
        <v>7</v>
      </c>
      <c r="H453">
        <v>420</v>
      </c>
      <c r="I453">
        <v>347</v>
      </c>
    </row>
    <row r="454" spans="1:9" x14ac:dyDescent="0.45">
      <c r="A454" s="12">
        <v>43978</v>
      </c>
      <c r="B454" s="13" t="s">
        <v>10</v>
      </c>
      <c r="C454">
        <v>32817</v>
      </c>
      <c r="D454">
        <v>3015751.5</v>
      </c>
      <c r="E454" s="14">
        <f t="shared" si="7"/>
        <v>1640.85</v>
      </c>
      <c r="F454">
        <f>WEEKNUM(Слияние1[[#This Row],[Дата]],2)</f>
        <v>22</v>
      </c>
      <c r="G454">
        <v>20</v>
      </c>
      <c r="H454">
        <v>2079</v>
      </c>
      <c r="I454">
        <v>1893</v>
      </c>
    </row>
    <row r="455" spans="1:9" x14ac:dyDescent="0.45">
      <c r="A455" s="12">
        <v>43982</v>
      </c>
      <c r="B455" s="13" t="s">
        <v>26</v>
      </c>
      <c r="C455">
        <v>5127</v>
      </c>
      <c r="D455">
        <v>468835.5</v>
      </c>
      <c r="E455" s="14">
        <f t="shared" si="7"/>
        <v>854.5</v>
      </c>
      <c r="F455">
        <f>WEEKNUM(Слияние1[[#This Row],[Дата]],2)</f>
        <v>22</v>
      </c>
      <c r="G455">
        <v>6</v>
      </c>
      <c r="H455">
        <v>261</v>
      </c>
      <c r="I455">
        <v>188</v>
      </c>
    </row>
    <row r="456" spans="1:9" x14ac:dyDescent="0.45">
      <c r="A456" s="12">
        <v>43981</v>
      </c>
      <c r="B456" s="13" t="s">
        <v>23</v>
      </c>
      <c r="C456">
        <v>20688</v>
      </c>
      <c r="D456">
        <v>1773154.5</v>
      </c>
      <c r="E456" s="14">
        <f t="shared" si="7"/>
        <v>1149.3333333333333</v>
      </c>
      <c r="F456">
        <f>WEEKNUM(Слияние1[[#This Row],[Дата]],2)</f>
        <v>22</v>
      </c>
      <c r="G456">
        <v>18</v>
      </c>
      <c r="H456">
        <v>1216</v>
      </c>
      <c r="I456">
        <v>1101</v>
      </c>
    </row>
    <row r="457" spans="1:9" x14ac:dyDescent="0.45">
      <c r="A457" s="12">
        <v>43979</v>
      </c>
      <c r="B457" s="13" t="s">
        <v>23</v>
      </c>
      <c r="C457">
        <v>15678</v>
      </c>
      <c r="D457">
        <v>1387443</v>
      </c>
      <c r="E457" s="14">
        <f t="shared" si="7"/>
        <v>871</v>
      </c>
      <c r="F457">
        <f>WEEKNUM(Слияние1[[#This Row],[Дата]],2)</f>
        <v>22</v>
      </c>
      <c r="G457">
        <v>18</v>
      </c>
      <c r="H457">
        <v>1020</v>
      </c>
      <c r="I457">
        <v>911</v>
      </c>
    </row>
    <row r="458" spans="1:9" x14ac:dyDescent="0.45">
      <c r="A458" s="12">
        <v>43983</v>
      </c>
      <c r="B458" s="13" t="s">
        <v>10</v>
      </c>
      <c r="C458">
        <v>31947</v>
      </c>
      <c r="D458">
        <v>2945035.5</v>
      </c>
      <c r="E458" s="14">
        <f t="shared" si="7"/>
        <v>1521.2857142857142</v>
      </c>
      <c r="F458">
        <f>WEEKNUM(Слияние1[[#This Row],[Дата]],2)</f>
        <v>23</v>
      </c>
      <c r="G458">
        <v>21</v>
      </c>
      <c r="H458">
        <v>2025</v>
      </c>
      <c r="I458">
        <v>1849</v>
      </c>
    </row>
    <row r="459" spans="1:9" x14ac:dyDescent="0.45">
      <c r="A459" s="12">
        <v>43982</v>
      </c>
      <c r="B459" s="13" t="s">
        <v>24</v>
      </c>
      <c r="C459">
        <v>10416</v>
      </c>
      <c r="D459">
        <v>866023.5</v>
      </c>
      <c r="E459" s="14">
        <f t="shared" si="7"/>
        <v>1488</v>
      </c>
      <c r="F459">
        <f>WEEKNUM(Слияние1[[#This Row],[Дата]],2)</f>
        <v>22</v>
      </c>
      <c r="G459">
        <v>7</v>
      </c>
      <c r="H459">
        <v>530</v>
      </c>
      <c r="I459">
        <v>447</v>
      </c>
    </row>
    <row r="460" spans="1:9" x14ac:dyDescent="0.45">
      <c r="A460" s="12">
        <v>43980</v>
      </c>
      <c r="B460" s="13" t="s">
        <v>10</v>
      </c>
      <c r="C460">
        <v>35431.5</v>
      </c>
      <c r="D460">
        <v>3193167</v>
      </c>
      <c r="E460" s="14">
        <f t="shared" si="7"/>
        <v>1771.575</v>
      </c>
      <c r="F460">
        <f>WEEKNUM(Слияние1[[#This Row],[Дата]],2)</f>
        <v>22</v>
      </c>
      <c r="G460">
        <v>20</v>
      </c>
      <c r="H460">
        <v>2111</v>
      </c>
      <c r="I460">
        <v>1917</v>
      </c>
    </row>
    <row r="461" spans="1:9" x14ac:dyDescent="0.45">
      <c r="A461" s="12">
        <v>43978</v>
      </c>
      <c r="B461" s="13" t="s">
        <v>11</v>
      </c>
      <c r="C461">
        <v>78544.5</v>
      </c>
      <c r="D461">
        <v>6701083.5</v>
      </c>
      <c r="E461" s="14">
        <f t="shared" si="7"/>
        <v>2533.6935483870966</v>
      </c>
      <c r="F461">
        <f>WEEKNUM(Слияние1[[#This Row],[Дата]],2)</f>
        <v>22</v>
      </c>
      <c r="G461">
        <v>31</v>
      </c>
      <c r="H461">
        <v>5330</v>
      </c>
      <c r="I461">
        <v>4977</v>
      </c>
    </row>
    <row r="462" spans="1:9" x14ac:dyDescent="0.45">
      <c r="A462" s="12">
        <v>43983</v>
      </c>
      <c r="B462" s="13" t="s">
        <v>11</v>
      </c>
      <c r="C462">
        <v>77269.5</v>
      </c>
      <c r="D462">
        <v>6829921.5</v>
      </c>
      <c r="E462" s="14">
        <f t="shared" si="7"/>
        <v>2492.5645161290322</v>
      </c>
      <c r="F462">
        <f>WEEKNUM(Слияние1[[#This Row],[Дата]],2)</f>
        <v>23</v>
      </c>
      <c r="G462">
        <v>31</v>
      </c>
      <c r="H462">
        <v>5468</v>
      </c>
      <c r="I462">
        <v>5081</v>
      </c>
    </row>
    <row r="463" spans="1:9" x14ac:dyDescent="0.45">
      <c r="A463" s="12">
        <v>43982</v>
      </c>
      <c r="B463" s="13" t="s">
        <v>23</v>
      </c>
      <c r="C463">
        <v>16143</v>
      </c>
      <c r="D463">
        <v>1423410</v>
      </c>
      <c r="E463" s="14">
        <f t="shared" si="7"/>
        <v>896.83333333333337</v>
      </c>
      <c r="F463">
        <f>WEEKNUM(Слияние1[[#This Row],[Дата]],2)</f>
        <v>22</v>
      </c>
      <c r="G463">
        <v>18</v>
      </c>
      <c r="H463">
        <v>1029</v>
      </c>
      <c r="I463">
        <v>925</v>
      </c>
    </row>
    <row r="464" spans="1:9" x14ac:dyDescent="0.45">
      <c r="A464" s="12">
        <v>43978</v>
      </c>
      <c r="B464" s="13" t="s">
        <v>12</v>
      </c>
      <c r="C464">
        <v>12490.5</v>
      </c>
      <c r="D464">
        <v>1054798.5</v>
      </c>
      <c r="E464" s="14">
        <f t="shared" si="7"/>
        <v>1249.05</v>
      </c>
      <c r="F464">
        <f>WEEKNUM(Слияние1[[#This Row],[Дата]],2)</f>
        <v>22</v>
      </c>
      <c r="G464">
        <v>10</v>
      </c>
      <c r="H464">
        <v>757</v>
      </c>
      <c r="I464">
        <v>660</v>
      </c>
    </row>
    <row r="465" spans="1:9" x14ac:dyDescent="0.45">
      <c r="A465" s="12">
        <v>43983</v>
      </c>
      <c r="B465" s="13" t="s">
        <v>12</v>
      </c>
      <c r="C465">
        <v>11416.5</v>
      </c>
      <c r="D465">
        <v>1007742</v>
      </c>
      <c r="E465" s="14">
        <f t="shared" si="7"/>
        <v>1141.6500000000001</v>
      </c>
      <c r="F465">
        <f>WEEKNUM(Слияние1[[#This Row],[Дата]],2)</f>
        <v>23</v>
      </c>
      <c r="G465">
        <v>10</v>
      </c>
      <c r="H465">
        <v>719</v>
      </c>
      <c r="I465">
        <v>627</v>
      </c>
    </row>
    <row r="466" spans="1:9" x14ac:dyDescent="0.45">
      <c r="A466" s="12">
        <v>43978</v>
      </c>
      <c r="B466" s="13" t="s">
        <v>16</v>
      </c>
      <c r="C466">
        <v>69010.5</v>
      </c>
      <c r="D466">
        <v>5985894</v>
      </c>
      <c r="E466" s="14">
        <f t="shared" si="7"/>
        <v>1916.9583333333333</v>
      </c>
      <c r="F466">
        <f>WEEKNUM(Слияние1[[#This Row],[Дата]],2)</f>
        <v>22</v>
      </c>
      <c r="G466">
        <v>36</v>
      </c>
      <c r="H466">
        <v>4951</v>
      </c>
      <c r="I466">
        <v>4584</v>
      </c>
    </row>
    <row r="467" spans="1:9" x14ac:dyDescent="0.45">
      <c r="A467" s="12">
        <v>43980</v>
      </c>
      <c r="B467" s="13" t="s">
        <v>11</v>
      </c>
      <c r="C467">
        <v>87552</v>
      </c>
      <c r="D467">
        <v>7387116</v>
      </c>
      <c r="E467" s="14">
        <f t="shared" si="7"/>
        <v>2824.2580645161293</v>
      </c>
      <c r="F467">
        <f>WEEKNUM(Слияние1[[#This Row],[Дата]],2)</f>
        <v>22</v>
      </c>
      <c r="G467">
        <v>31</v>
      </c>
      <c r="H467">
        <v>5751</v>
      </c>
      <c r="I467">
        <v>5319</v>
      </c>
    </row>
    <row r="468" spans="1:9" x14ac:dyDescent="0.45">
      <c r="A468" s="12">
        <v>43978</v>
      </c>
      <c r="B468" s="13" t="s">
        <v>17</v>
      </c>
      <c r="C468">
        <v>40420.5</v>
      </c>
      <c r="D468">
        <v>3780852</v>
      </c>
      <c r="E468" s="14">
        <f t="shared" si="7"/>
        <v>1924.7857142857142</v>
      </c>
      <c r="F468">
        <f>WEEKNUM(Слияние1[[#This Row],[Дата]],2)</f>
        <v>22</v>
      </c>
      <c r="G468">
        <v>21</v>
      </c>
      <c r="H468">
        <v>2430</v>
      </c>
      <c r="I468">
        <v>2216</v>
      </c>
    </row>
    <row r="469" spans="1:9" x14ac:dyDescent="0.45">
      <c r="A469" s="12">
        <v>43978</v>
      </c>
      <c r="B469" s="13" t="s">
        <v>20</v>
      </c>
      <c r="C469">
        <v>28050</v>
      </c>
      <c r="D469">
        <v>2458555.5</v>
      </c>
      <c r="E469" s="14">
        <f t="shared" si="7"/>
        <v>1402.5</v>
      </c>
      <c r="F469">
        <f>WEEKNUM(Слияние1[[#This Row],[Дата]],2)</f>
        <v>22</v>
      </c>
      <c r="G469">
        <v>20</v>
      </c>
      <c r="H469">
        <v>1873</v>
      </c>
      <c r="I469">
        <v>1715</v>
      </c>
    </row>
    <row r="470" spans="1:9" x14ac:dyDescent="0.45">
      <c r="A470" s="12">
        <v>43980</v>
      </c>
      <c r="B470" s="13" t="s">
        <v>12</v>
      </c>
      <c r="C470">
        <v>14823</v>
      </c>
      <c r="D470">
        <v>1273464</v>
      </c>
      <c r="E470" s="14">
        <f t="shared" si="7"/>
        <v>1482.3</v>
      </c>
      <c r="F470">
        <f>WEEKNUM(Слияние1[[#This Row],[Дата]],2)</f>
        <v>22</v>
      </c>
      <c r="G470">
        <v>10</v>
      </c>
      <c r="H470">
        <v>873</v>
      </c>
      <c r="I470">
        <v>770</v>
      </c>
    </row>
    <row r="471" spans="1:9" x14ac:dyDescent="0.45">
      <c r="A471" s="12">
        <v>43978</v>
      </c>
      <c r="B471" s="13" t="s">
        <v>22</v>
      </c>
      <c r="C471">
        <v>203532</v>
      </c>
      <c r="D471">
        <v>20953324.5</v>
      </c>
      <c r="E471" s="14">
        <f t="shared" si="7"/>
        <v>3769.1111111111113</v>
      </c>
      <c r="F471">
        <f>WEEKNUM(Слияние1[[#This Row],[Дата]],2)</f>
        <v>22</v>
      </c>
      <c r="G471">
        <v>54</v>
      </c>
      <c r="H471">
        <v>13091</v>
      </c>
      <c r="I471">
        <v>12216</v>
      </c>
    </row>
    <row r="472" spans="1:9" x14ac:dyDescent="0.45">
      <c r="A472" s="12">
        <v>43978</v>
      </c>
      <c r="B472" s="13" t="s">
        <v>13</v>
      </c>
      <c r="C472">
        <v>31257</v>
      </c>
      <c r="D472">
        <v>2924133</v>
      </c>
      <c r="E472" s="14">
        <f t="shared" si="7"/>
        <v>1562.85</v>
      </c>
      <c r="F472">
        <f>WEEKNUM(Слияние1[[#This Row],[Дата]],2)</f>
        <v>22</v>
      </c>
      <c r="G472">
        <v>20</v>
      </c>
      <c r="H472">
        <v>2079</v>
      </c>
      <c r="I472">
        <v>1856</v>
      </c>
    </row>
    <row r="473" spans="1:9" x14ac:dyDescent="0.45">
      <c r="A473" s="12">
        <v>43978</v>
      </c>
      <c r="B473" s="13" t="s">
        <v>21</v>
      </c>
      <c r="C473">
        <v>215592</v>
      </c>
      <c r="D473">
        <v>22342300.5</v>
      </c>
      <c r="E473" s="14">
        <f t="shared" si="7"/>
        <v>3654.101694915254</v>
      </c>
      <c r="F473">
        <f>WEEKNUM(Слияние1[[#This Row],[Дата]],2)</f>
        <v>22</v>
      </c>
      <c r="G473">
        <v>59</v>
      </c>
      <c r="H473">
        <v>13942</v>
      </c>
      <c r="I473">
        <v>12986</v>
      </c>
    </row>
    <row r="474" spans="1:9" x14ac:dyDescent="0.45">
      <c r="A474" s="12">
        <v>43983</v>
      </c>
      <c r="B474" s="13" t="s">
        <v>13</v>
      </c>
      <c r="C474">
        <v>32170.5</v>
      </c>
      <c r="D474">
        <v>3013512</v>
      </c>
      <c r="E474" s="14">
        <f t="shared" si="7"/>
        <v>1608.5250000000001</v>
      </c>
      <c r="F474">
        <f>WEEKNUM(Слияние1[[#This Row],[Дата]],2)</f>
        <v>23</v>
      </c>
      <c r="G474">
        <v>20</v>
      </c>
      <c r="H474">
        <v>2136</v>
      </c>
      <c r="I474">
        <v>1899</v>
      </c>
    </row>
    <row r="475" spans="1:9" x14ac:dyDescent="0.45">
      <c r="A475" s="12">
        <v>43978</v>
      </c>
      <c r="B475" s="13" t="s">
        <v>23</v>
      </c>
      <c r="C475">
        <v>15276</v>
      </c>
      <c r="D475">
        <v>1350199.5</v>
      </c>
      <c r="E475" s="14">
        <f t="shared" si="7"/>
        <v>848.66666666666663</v>
      </c>
      <c r="F475">
        <f>WEEKNUM(Слияние1[[#This Row],[Дата]],2)</f>
        <v>22</v>
      </c>
      <c r="G475">
        <v>18</v>
      </c>
      <c r="H475">
        <v>962</v>
      </c>
      <c r="I475">
        <v>859</v>
      </c>
    </row>
    <row r="476" spans="1:9" x14ac:dyDescent="0.45">
      <c r="A476" s="12">
        <v>43978</v>
      </c>
      <c r="B476" s="13" t="s">
        <v>18</v>
      </c>
      <c r="C476">
        <v>18069</v>
      </c>
      <c r="D476">
        <v>1603084.5</v>
      </c>
      <c r="E476" s="14">
        <f t="shared" si="7"/>
        <v>1062.8823529411766</v>
      </c>
      <c r="F476">
        <f>WEEKNUM(Слияние1[[#This Row],[Дата]],2)</f>
        <v>22</v>
      </c>
      <c r="G476">
        <v>17</v>
      </c>
      <c r="H476">
        <v>1203</v>
      </c>
      <c r="I476">
        <v>1077</v>
      </c>
    </row>
    <row r="477" spans="1:9" x14ac:dyDescent="0.45">
      <c r="A477" s="12">
        <v>43978</v>
      </c>
      <c r="B477" s="13" t="s">
        <v>19</v>
      </c>
      <c r="C477">
        <v>13203</v>
      </c>
      <c r="D477">
        <v>1211457</v>
      </c>
      <c r="E477" s="14">
        <f t="shared" si="7"/>
        <v>880.2</v>
      </c>
      <c r="F477">
        <f>WEEKNUM(Слияние1[[#This Row],[Дата]],2)</f>
        <v>22</v>
      </c>
      <c r="G477">
        <v>15</v>
      </c>
      <c r="H477">
        <v>809</v>
      </c>
      <c r="I477">
        <v>702</v>
      </c>
    </row>
    <row r="478" spans="1:9" x14ac:dyDescent="0.45">
      <c r="A478" s="12">
        <v>43978</v>
      </c>
      <c r="B478" s="13" t="s">
        <v>15</v>
      </c>
      <c r="C478">
        <v>370012.5</v>
      </c>
      <c r="D478">
        <v>39034861.5</v>
      </c>
      <c r="E478" s="14">
        <f t="shared" si="7"/>
        <v>2983.9717741935483</v>
      </c>
      <c r="F478">
        <f>WEEKNUM(Слияние1[[#This Row],[Дата]],2)</f>
        <v>22</v>
      </c>
      <c r="G478">
        <v>124</v>
      </c>
      <c r="H478">
        <v>21384</v>
      </c>
      <c r="I478">
        <v>19897</v>
      </c>
    </row>
    <row r="479" spans="1:9" x14ac:dyDescent="0.45">
      <c r="A479" s="12">
        <v>43978</v>
      </c>
      <c r="B479" s="13" t="s">
        <v>14</v>
      </c>
      <c r="C479">
        <v>286558.5</v>
      </c>
      <c r="D479">
        <v>29256993</v>
      </c>
      <c r="E479" s="14">
        <f t="shared" si="7"/>
        <v>2221.3837209302324</v>
      </c>
      <c r="F479">
        <f>WEEKNUM(Слияние1[[#This Row],[Дата]],2)</f>
        <v>22</v>
      </c>
      <c r="G479">
        <v>129</v>
      </c>
      <c r="H479">
        <v>17115</v>
      </c>
      <c r="I479">
        <v>15962</v>
      </c>
    </row>
    <row r="480" spans="1:9" x14ac:dyDescent="0.45">
      <c r="A480" s="12">
        <v>43980</v>
      </c>
      <c r="B480" s="13" t="s">
        <v>13</v>
      </c>
      <c r="C480">
        <v>35346</v>
      </c>
      <c r="D480">
        <v>3258054</v>
      </c>
      <c r="E480" s="14">
        <f t="shared" si="7"/>
        <v>1767.3</v>
      </c>
      <c r="F480">
        <f>WEEKNUM(Слияние1[[#This Row],[Дата]],2)</f>
        <v>22</v>
      </c>
      <c r="G480">
        <v>20</v>
      </c>
      <c r="H480">
        <v>2249</v>
      </c>
      <c r="I480">
        <v>2000</v>
      </c>
    </row>
    <row r="481" spans="1:9" x14ac:dyDescent="0.45">
      <c r="A481" s="12">
        <v>43978</v>
      </c>
      <c r="B481" s="13" t="s">
        <v>24</v>
      </c>
      <c r="C481">
        <v>8362.5</v>
      </c>
      <c r="D481">
        <v>687684</v>
      </c>
      <c r="E481" s="14">
        <f t="shared" si="7"/>
        <v>1194.6428571428571</v>
      </c>
      <c r="F481">
        <f>WEEKNUM(Слияние1[[#This Row],[Дата]],2)</f>
        <v>22</v>
      </c>
      <c r="G481">
        <v>7</v>
      </c>
      <c r="H481">
        <v>409</v>
      </c>
      <c r="I481">
        <v>329</v>
      </c>
    </row>
    <row r="482" spans="1:9" x14ac:dyDescent="0.45">
      <c r="A482" s="12">
        <v>43983</v>
      </c>
      <c r="B482" s="13" t="s">
        <v>14</v>
      </c>
      <c r="C482">
        <v>272926.5</v>
      </c>
      <c r="D482">
        <v>27770092.5</v>
      </c>
      <c r="E482" s="14">
        <f t="shared" si="7"/>
        <v>2132.23828125</v>
      </c>
      <c r="F482">
        <f>WEEKNUM(Слияние1[[#This Row],[Дата]],2)</f>
        <v>23</v>
      </c>
      <c r="G482">
        <v>128</v>
      </c>
      <c r="H482">
        <v>16285</v>
      </c>
      <c r="I482">
        <v>15130</v>
      </c>
    </row>
    <row r="483" spans="1:9" x14ac:dyDescent="0.45">
      <c r="A483" s="12">
        <v>43983</v>
      </c>
      <c r="B483" s="13" t="s">
        <v>15</v>
      </c>
      <c r="C483">
        <v>349699.5</v>
      </c>
      <c r="D483">
        <v>37257840.18135</v>
      </c>
      <c r="E483" s="14">
        <f t="shared" si="7"/>
        <v>2843.0853658536585</v>
      </c>
      <c r="F483">
        <f>WEEKNUM(Слияние1[[#This Row],[Дата]],2)</f>
        <v>23</v>
      </c>
      <c r="G483">
        <v>123</v>
      </c>
      <c r="H483">
        <v>20325</v>
      </c>
      <c r="I483">
        <v>18935</v>
      </c>
    </row>
    <row r="484" spans="1:9" x14ac:dyDescent="0.45">
      <c r="A484" s="12">
        <v>43980</v>
      </c>
      <c r="B484" s="13" t="s">
        <v>14</v>
      </c>
      <c r="C484">
        <v>422965.5</v>
      </c>
      <c r="D484">
        <v>41767140.105000004</v>
      </c>
      <c r="E484" s="14">
        <f t="shared" si="7"/>
        <v>3278.8023255813955</v>
      </c>
      <c r="F484">
        <f>WEEKNUM(Слияние1[[#This Row],[Дата]],2)</f>
        <v>22</v>
      </c>
      <c r="G484">
        <v>129</v>
      </c>
      <c r="H484">
        <v>22403</v>
      </c>
      <c r="I484">
        <v>20676</v>
      </c>
    </row>
    <row r="485" spans="1:9" x14ac:dyDescent="0.45">
      <c r="A485" s="12">
        <v>43983</v>
      </c>
      <c r="B485" s="13" t="s">
        <v>16</v>
      </c>
      <c r="C485">
        <v>64740</v>
      </c>
      <c r="D485">
        <v>5800290</v>
      </c>
      <c r="E485" s="14">
        <f t="shared" si="7"/>
        <v>1749.7297297297298</v>
      </c>
      <c r="F485">
        <f>WEEKNUM(Слияние1[[#This Row],[Дата]],2)</f>
        <v>23</v>
      </c>
      <c r="G485">
        <v>37</v>
      </c>
      <c r="H485">
        <v>4722</v>
      </c>
      <c r="I485">
        <v>4352</v>
      </c>
    </row>
    <row r="486" spans="1:9" x14ac:dyDescent="0.45">
      <c r="A486" s="12">
        <v>43980</v>
      </c>
      <c r="B486" s="13" t="s">
        <v>16</v>
      </c>
      <c r="C486">
        <v>84433.5</v>
      </c>
      <c r="D486">
        <v>7228395</v>
      </c>
      <c r="E486" s="14">
        <f t="shared" si="7"/>
        <v>2281.9864864864867</v>
      </c>
      <c r="F486">
        <f>WEEKNUM(Слияние1[[#This Row],[Дата]],2)</f>
        <v>22</v>
      </c>
      <c r="G486">
        <v>37</v>
      </c>
      <c r="H486">
        <v>5672</v>
      </c>
      <c r="I486">
        <v>5198</v>
      </c>
    </row>
    <row r="487" spans="1:9" x14ac:dyDescent="0.45">
      <c r="A487" s="12">
        <v>43980</v>
      </c>
      <c r="B487" s="13" t="s">
        <v>15</v>
      </c>
      <c r="C487">
        <v>524481</v>
      </c>
      <c r="D487">
        <v>54172029</v>
      </c>
      <c r="E487" s="14">
        <f t="shared" si="7"/>
        <v>4229.6854838709678</v>
      </c>
      <c r="F487">
        <f>WEEKNUM(Слияние1[[#This Row],[Дата]],2)</f>
        <v>22</v>
      </c>
      <c r="G487">
        <v>124</v>
      </c>
      <c r="H487">
        <v>25828</v>
      </c>
      <c r="I487">
        <v>23974</v>
      </c>
    </row>
    <row r="488" spans="1:9" x14ac:dyDescent="0.45">
      <c r="A488" s="12">
        <v>43980</v>
      </c>
      <c r="B488" s="13" t="s">
        <v>17</v>
      </c>
      <c r="C488">
        <v>44569.5</v>
      </c>
      <c r="D488">
        <v>4108596</v>
      </c>
      <c r="E488" s="14">
        <f t="shared" si="7"/>
        <v>2025.8863636363637</v>
      </c>
      <c r="F488">
        <f>WEEKNUM(Слияние1[[#This Row],[Дата]],2)</f>
        <v>22</v>
      </c>
      <c r="G488">
        <v>22</v>
      </c>
      <c r="H488">
        <v>2597</v>
      </c>
      <c r="I488">
        <v>2379</v>
      </c>
    </row>
    <row r="489" spans="1:9" x14ac:dyDescent="0.45">
      <c r="A489" s="12">
        <v>43980</v>
      </c>
      <c r="B489" s="13" t="s">
        <v>20</v>
      </c>
      <c r="C489">
        <v>32782.5</v>
      </c>
      <c r="D489">
        <v>2854741.5</v>
      </c>
      <c r="E489" s="14">
        <f t="shared" si="7"/>
        <v>1639.125</v>
      </c>
      <c r="F489">
        <f>WEEKNUM(Слияние1[[#This Row],[Дата]],2)</f>
        <v>22</v>
      </c>
      <c r="G489">
        <v>20</v>
      </c>
      <c r="H489">
        <v>2064</v>
      </c>
      <c r="I489">
        <v>1896</v>
      </c>
    </row>
    <row r="490" spans="1:9" x14ac:dyDescent="0.45">
      <c r="A490" s="12">
        <v>43980</v>
      </c>
      <c r="B490" s="13" t="s">
        <v>22</v>
      </c>
      <c r="C490">
        <v>226476</v>
      </c>
      <c r="D490">
        <v>22416151.5</v>
      </c>
      <c r="E490" s="14">
        <f t="shared" si="7"/>
        <v>4194</v>
      </c>
      <c r="F490">
        <f>WEEKNUM(Слияние1[[#This Row],[Дата]],2)</f>
        <v>22</v>
      </c>
      <c r="G490">
        <v>54</v>
      </c>
      <c r="H490">
        <v>14031</v>
      </c>
      <c r="I490">
        <v>12943</v>
      </c>
    </row>
    <row r="491" spans="1:9" x14ac:dyDescent="0.45">
      <c r="A491" s="12">
        <v>43980</v>
      </c>
      <c r="B491" s="13" t="s">
        <v>21</v>
      </c>
      <c r="C491">
        <v>232102.5</v>
      </c>
      <c r="D491">
        <v>23120443.5</v>
      </c>
      <c r="E491" s="14">
        <f t="shared" si="7"/>
        <v>3933.9406779661017</v>
      </c>
      <c r="F491">
        <f>WEEKNUM(Слияние1[[#This Row],[Дата]],2)</f>
        <v>22</v>
      </c>
      <c r="G491">
        <v>59</v>
      </c>
      <c r="H491">
        <v>14507</v>
      </c>
      <c r="I491">
        <v>13386</v>
      </c>
    </row>
    <row r="492" spans="1:9" x14ac:dyDescent="0.45">
      <c r="A492" s="12">
        <v>43983</v>
      </c>
      <c r="B492" s="13" t="s">
        <v>17</v>
      </c>
      <c r="C492">
        <v>40528.5</v>
      </c>
      <c r="D492">
        <v>3865251</v>
      </c>
      <c r="E492" s="14">
        <f t="shared" si="7"/>
        <v>1762.108695652174</v>
      </c>
      <c r="F492">
        <f>WEEKNUM(Слияние1[[#This Row],[Дата]],2)</f>
        <v>23</v>
      </c>
      <c r="G492">
        <v>23</v>
      </c>
      <c r="H492">
        <v>2531</v>
      </c>
      <c r="I492">
        <v>2296</v>
      </c>
    </row>
    <row r="493" spans="1:9" x14ac:dyDescent="0.45">
      <c r="A493" s="12">
        <v>43980</v>
      </c>
      <c r="B493" s="13" t="s">
        <v>23</v>
      </c>
      <c r="C493">
        <v>16878</v>
      </c>
      <c r="D493">
        <v>1438255.5</v>
      </c>
      <c r="E493" s="14">
        <f t="shared" si="7"/>
        <v>937.66666666666663</v>
      </c>
      <c r="F493">
        <f>WEEKNUM(Слияние1[[#This Row],[Дата]],2)</f>
        <v>22</v>
      </c>
      <c r="G493">
        <v>18</v>
      </c>
      <c r="H493">
        <v>1014</v>
      </c>
      <c r="I493">
        <v>893</v>
      </c>
    </row>
    <row r="494" spans="1:9" x14ac:dyDescent="0.45">
      <c r="A494" s="12">
        <v>43980</v>
      </c>
      <c r="B494" s="13" t="s">
        <v>18</v>
      </c>
      <c r="C494">
        <v>19647</v>
      </c>
      <c r="D494">
        <v>1764669</v>
      </c>
      <c r="E494" s="14">
        <f t="shared" si="7"/>
        <v>1155.7058823529412</v>
      </c>
      <c r="F494">
        <f>WEEKNUM(Слияние1[[#This Row],[Дата]],2)</f>
        <v>22</v>
      </c>
      <c r="G494">
        <v>17</v>
      </c>
      <c r="H494">
        <v>1296</v>
      </c>
      <c r="I494">
        <v>1153</v>
      </c>
    </row>
    <row r="495" spans="1:9" x14ac:dyDescent="0.45">
      <c r="A495" s="12">
        <v>43980</v>
      </c>
      <c r="B495" s="13" t="s">
        <v>19</v>
      </c>
      <c r="C495">
        <v>17052</v>
      </c>
      <c r="D495">
        <v>1549020</v>
      </c>
      <c r="E495" s="14">
        <f t="shared" si="7"/>
        <v>1065.75</v>
      </c>
      <c r="F495">
        <f>WEEKNUM(Слияние1[[#This Row],[Дата]],2)</f>
        <v>22</v>
      </c>
      <c r="G495">
        <v>16</v>
      </c>
      <c r="H495">
        <v>981</v>
      </c>
      <c r="I495">
        <v>859</v>
      </c>
    </row>
    <row r="496" spans="1:9" x14ac:dyDescent="0.45">
      <c r="A496" s="12">
        <v>43980</v>
      </c>
      <c r="B496" s="13" t="s">
        <v>24</v>
      </c>
      <c r="C496">
        <v>9927</v>
      </c>
      <c r="D496">
        <v>850840.5</v>
      </c>
      <c r="E496" s="14">
        <f t="shared" si="7"/>
        <v>1418.1428571428571</v>
      </c>
      <c r="F496">
        <f>WEEKNUM(Слияние1[[#This Row],[Дата]],2)</f>
        <v>22</v>
      </c>
      <c r="G496">
        <v>7</v>
      </c>
      <c r="H496">
        <v>491</v>
      </c>
      <c r="I496">
        <v>411</v>
      </c>
    </row>
    <row r="497" spans="1:9" x14ac:dyDescent="0.45">
      <c r="A497" s="12">
        <v>43983</v>
      </c>
      <c r="B497" s="13" t="s">
        <v>18</v>
      </c>
      <c r="C497">
        <v>16687.5</v>
      </c>
      <c r="D497">
        <v>1526608.5</v>
      </c>
      <c r="E497" s="14">
        <f t="shared" si="7"/>
        <v>981.61764705882354</v>
      </c>
      <c r="F497">
        <f>WEEKNUM(Слияние1[[#This Row],[Дата]],2)</f>
        <v>23</v>
      </c>
      <c r="G497">
        <v>17</v>
      </c>
      <c r="H497">
        <v>1185</v>
      </c>
      <c r="I497">
        <v>1042</v>
      </c>
    </row>
    <row r="498" spans="1:9" x14ac:dyDescent="0.45">
      <c r="A498" s="12">
        <v>43983</v>
      </c>
      <c r="B498" s="13" t="s">
        <v>19</v>
      </c>
      <c r="C498">
        <v>16476</v>
      </c>
      <c r="D498">
        <v>1565632.5</v>
      </c>
      <c r="E498" s="14">
        <f t="shared" si="7"/>
        <v>1029.75</v>
      </c>
      <c r="F498">
        <f>WEEKNUM(Слияние1[[#This Row],[Дата]],2)</f>
        <v>23</v>
      </c>
      <c r="G498">
        <v>16</v>
      </c>
      <c r="H498">
        <v>1019</v>
      </c>
      <c r="I498">
        <v>895</v>
      </c>
    </row>
    <row r="499" spans="1:9" x14ac:dyDescent="0.45">
      <c r="A499" s="12">
        <v>43983</v>
      </c>
      <c r="B499" s="13" t="s">
        <v>20</v>
      </c>
      <c r="C499">
        <v>27960</v>
      </c>
      <c r="D499">
        <v>2538967.5</v>
      </c>
      <c r="E499" s="14">
        <f t="shared" si="7"/>
        <v>1331.4285714285713</v>
      </c>
      <c r="F499">
        <f>WEEKNUM(Слияние1[[#This Row],[Дата]],2)</f>
        <v>23</v>
      </c>
      <c r="G499">
        <v>21</v>
      </c>
      <c r="H499">
        <v>1879</v>
      </c>
      <c r="I499">
        <v>1720</v>
      </c>
    </row>
    <row r="500" spans="1:9" x14ac:dyDescent="0.45">
      <c r="A500" s="12">
        <v>43983</v>
      </c>
      <c r="B500" s="13" t="s">
        <v>21</v>
      </c>
      <c r="C500">
        <v>188776.5</v>
      </c>
      <c r="D500">
        <v>19465372.5</v>
      </c>
      <c r="E500" s="14">
        <f t="shared" si="7"/>
        <v>3199.601694915254</v>
      </c>
      <c r="F500">
        <f>WEEKNUM(Слияние1[[#This Row],[Дата]],2)</f>
        <v>23</v>
      </c>
      <c r="G500">
        <v>59</v>
      </c>
      <c r="H500">
        <v>12299</v>
      </c>
      <c r="I500">
        <v>11448</v>
      </c>
    </row>
    <row r="501" spans="1:9" x14ac:dyDescent="0.45">
      <c r="A501" s="12">
        <v>43983</v>
      </c>
      <c r="B501" s="13" t="s">
        <v>22</v>
      </c>
      <c r="C501">
        <v>183228</v>
      </c>
      <c r="D501">
        <v>18914194.5</v>
      </c>
      <c r="E501" s="14">
        <f t="shared" si="7"/>
        <v>3393.1111111111113</v>
      </c>
      <c r="F501">
        <f>WEEKNUM(Слияние1[[#This Row],[Дата]],2)</f>
        <v>23</v>
      </c>
      <c r="G501">
        <v>54</v>
      </c>
      <c r="H501">
        <v>11864</v>
      </c>
      <c r="I501">
        <v>11071</v>
      </c>
    </row>
    <row r="502" spans="1:9" x14ac:dyDescent="0.45">
      <c r="A502" s="12">
        <v>43983</v>
      </c>
      <c r="B502" s="13" t="s">
        <v>25</v>
      </c>
      <c r="C502">
        <v>5166</v>
      </c>
      <c r="D502">
        <v>389013</v>
      </c>
      <c r="E502" s="14">
        <f t="shared" si="7"/>
        <v>574</v>
      </c>
      <c r="F502">
        <f>WEEKNUM(Слияние1[[#This Row],[Дата]],2)</f>
        <v>23</v>
      </c>
      <c r="G502">
        <v>9</v>
      </c>
      <c r="H502">
        <v>294</v>
      </c>
      <c r="I502">
        <v>224</v>
      </c>
    </row>
    <row r="503" spans="1:9" x14ac:dyDescent="0.45">
      <c r="A503" s="12">
        <v>43983</v>
      </c>
      <c r="B503" s="13" t="s">
        <v>23</v>
      </c>
      <c r="C503">
        <v>14238</v>
      </c>
      <c r="D503">
        <v>1293219</v>
      </c>
      <c r="E503" s="14">
        <f t="shared" si="7"/>
        <v>791</v>
      </c>
      <c r="F503">
        <f>WEEKNUM(Слияние1[[#This Row],[Дата]],2)</f>
        <v>23</v>
      </c>
      <c r="G503">
        <v>18</v>
      </c>
      <c r="H503">
        <v>923</v>
      </c>
      <c r="I503">
        <v>824</v>
      </c>
    </row>
    <row r="504" spans="1:9" x14ac:dyDescent="0.45">
      <c r="A504" s="12">
        <v>43983</v>
      </c>
      <c r="B504" s="13" t="s">
        <v>26</v>
      </c>
      <c r="C504">
        <v>4408.5</v>
      </c>
      <c r="D504">
        <v>410892</v>
      </c>
      <c r="E504" s="14">
        <f t="shared" si="7"/>
        <v>734.75</v>
      </c>
      <c r="F504">
        <f>WEEKNUM(Слияние1[[#This Row],[Дата]],2)</f>
        <v>23</v>
      </c>
      <c r="G504">
        <v>6</v>
      </c>
      <c r="H504">
        <v>237</v>
      </c>
      <c r="I504">
        <v>175</v>
      </c>
    </row>
    <row r="505" spans="1:9" x14ac:dyDescent="0.45">
      <c r="A505" s="12">
        <v>43983</v>
      </c>
      <c r="B505" s="13" t="s">
        <v>24</v>
      </c>
      <c r="C505">
        <v>9474</v>
      </c>
      <c r="D505">
        <v>802447.5</v>
      </c>
      <c r="E505" s="14">
        <f t="shared" si="7"/>
        <v>1353.4285714285713</v>
      </c>
      <c r="F505">
        <f>WEEKNUM(Слияние1[[#This Row],[Дата]],2)</f>
        <v>23</v>
      </c>
      <c r="G505">
        <v>7</v>
      </c>
      <c r="H505">
        <v>500</v>
      </c>
      <c r="I505">
        <v>418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90E8-2FE9-4A4F-BCA6-B0B11E397BCC}">
  <dimension ref="A1:E22"/>
  <sheetViews>
    <sheetView topLeftCell="B1" workbookViewId="0">
      <selection activeCell="F15" sqref="F15"/>
    </sheetView>
  </sheetViews>
  <sheetFormatPr defaultRowHeight="14.25" x14ac:dyDescent="0.45"/>
  <cols>
    <col min="1" max="1" width="19.6640625" bestFit="1" customWidth="1"/>
    <col min="2" max="2" width="25.86328125" bestFit="1" customWidth="1"/>
    <col min="3" max="3" width="22.53125" bestFit="1" customWidth="1"/>
    <col min="4" max="4" width="22.796875" bestFit="1" customWidth="1"/>
    <col min="5" max="5" width="27.59765625" bestFit="1" customWidth="1"/>
    <col min="6" max="6" width="34.53125" bestFit="1" customWidth="1"/>
  </cols>
  <sheetData>
    <row r="1" spans="1:5" x14ac:dyDescent="0.45">
      <c r="A1" s="15" t="s">
        <v>8</v>
      </c>
      <c r="B1" s="16">
        <v>23</v>
      </c>
    </row>
    <row r="3" spans="1:5" x14ac:dyDescent="0.45">
      <c r="A3" s="15" t="s">
        <v>27</v>
      </c>
      <c r="B3" t="s">
        <v>30</v>
      </c>
      <c r="C3" t="s">
        <v>33</v>
      </c>
      <c r="D3" t="s">
        <v>31</v>
      </c>
      <c r="E3" t="s">
        <v>32</v>
      </c>
    </row>
    <row r="4" spans="1:5" x14ac:dyDescent="0.45">
      <c r="A4" s="18" t="s">
        <v>15</v>
      </c>
      <c r="B4" s="19">
        <v>37257840.18135</v>
      </c>
      <c r="C4" s="20">
        <v>0.27388950403053602</v>
      </c>
      <c r="D4" s="19">
        <v>349699.5</v>
      </c>
      <c r="E4" s="21">
        <v>2843.0853658536585</v>
      </c>
    </row>
    <row r="5" spans="1:5" x14ac:dyDescent="0.45">
      <c r="A5" s="18" t="s">
        <v>14</v>
      </c>
      <c r="B5" s="19">
        <v>27770092.5</v>
      </c>
      <c r="C5" s="20">
        <v>0.20414325749119455</v>
      </c>
      <c r="D5" s="19">
        <v>272926.5</v>
      </c>
      <c r="E5" s="21">
        <v>2132.23828125</v>
      </c>
    </row>
    <row r="6" spans="1:5" x14ac:dyDescent="0.45">
      <c r="A6" s="18" t="s">
        <v>21</v>
      </c>
      <c r="B6" s="19">
        <v>19465372.5</v>
      </c>
      <c r="C6" s="20">
        <v>0.14309367354212152</v>
      </c>
      <c r="D6" s="19">
        <v>188776.5</v>
      </c>
      <c r="E6" s="21">
        <v>3199.601694915254</v>
      </c>
    </row>
    <row r="7" spans="1:5" x14ac:dyDescent="0.45">
      <c r="A7" s="18" t="s">
        <v>22</v>
      </c>
      <c r="B7" s="19">
        <v>18914194.5</v>
      </c>
      <c r="C7" s="20">
        <v>0.13904185872092562</v>
      </c>
      <c r="D7" s="19">
        <v>183228</v>
      </c>
      <c r="E7" s="21">
        <v>3393.1111111111113</v>
      </c>
    </row>
    <row r="8" spans="1:5" x14ac:dyDescent="0.45">
      <c r="A8" s="18" t="s">
        <v>11</v>
      </c>
      <c r="B8" s="19">
        <v>6829921.5</v>
      </c>
      <c r="C8" s="20">
        <v>5.0208058306580927E-2</v>
      </c>
      <c r="D8" s="19">
        <v>77269.5</v>
      </c>
      <c r="E8" s="21">
        <v>2492.5645161290322</v>
      </c>
    </row>
    <row r="9" spans="1:5" x14ac:dyDescent="0.45">
      <c r="A9" s="18" t="s">
        <v>16</v>
      </c>
      <c r="B9" s="19">
        <v>5800290</v>
      </c>
      <c r="C9" s="20">
        <v>4.2639040363066878E-2</v>
      </c>
      <c r="D9" s="19">
        <v>64740</v>
      </c>
      <c r="E9" s="21">
        <v>1749.7297297297298</v>
      </c>
    </row>
    <row r="10" spans="1:5" x14ac:dyDescent="0.45">
      <c r="A10" s="18" t="s">
        <v>17</v>
      </c>
      <c r="B10" s="19">
        <v>3865251</v>
      </c>
      <c r="C10" s="20">
        <v>2.8414198842193168E-2</v>
      </c>
      <c r="D10" s="19">
        <v>40528.5</v>
      </c>
      <c r="E10" s="21">
        <v>1762.108695652174</v>
      </c>
    </row>
    <row r="11" spans="1:5" x14ac:dyDescent="0.45">
      <c r="A11" s="18" t="s">
        <v>13</v>
      </c>
      <c r="B11" s="19">
        <v>3013512</v>
      </c>
      <c r="C11" s="20">
        <v>2.2152902665657476E-2</v>
      </c>
      <c r="D11" s="19">
        <v>32170.5</v>
      </c>
      <c r="E11" s="21">
        <v>1608.5250000000001</v>
      </c>
    </row>
    <row r="12" spans="1:5" x14ac:dyDescent="0.45">
      <c r="A12" s="18" t="s">
        <v>10</v>
      </c>
      <c r="B12" s="19">
        <v>2945035.5</v>
      </c>
      <c r="C12" s="20">
        <v>2.1649518826673295E-2</v>
      </c>
      <c r="D12" s="19">
        <v>31947</v>
      </c>
      <c r="E12" s="21">
        <v>1521.2857142857142</v>
      </c>
    </row>
    <row r="13" spans="1:5" x14ac:dyDescent="0.45">
      <c r="A13" s="18" t="s">
        <v>20</v>
      </c>
      <c r="B13" s="19">
        <v>2538967.5</v>
      </c>
      <c r="C13" s="20">
        <v>1.866443534944201E-2</v>
      </c>
      <c r="D13" s="19">
        <v>27960</v>
      </c>
      <c r="E13" s="21">
        <v>1331.4285714285713</v>
      </c>
    </row>
    <row r="14" spans="1:5" x14ac:dyDescent="0.45">
      <c r="A14" s="18" t="s">
        <v>19</v>
      </c>
      <c r="B14" s="19">
        <v>1565632.5</v>
      </c>
      <c r="C14" s="20">
        <v>1.1509263737025098E-2</v>
      </c>
      <c r="D14" s="19">
        <v>16476</v>
      </c>
      <c r="E14" s="21">
        <v>1029.75</v>
      </c>
    </row>
    <row r="15" spans="1:5" x14ac:dyDescent="0.45">
      <c r="A15" s="18" t="s">
        <v>18</v>
      </c>
      <c r="B15" s="19">
        <v>1526608.5</v>
      </c>
      <c r="C15" s="20">
        <v>1.1222390854612612E-2</v>
      </c>
      <c r="D15" s="19">
        <v>16687.5</v>
      </c>
      <c r="E15" s="21">
        <v>981.61764705882354</v>
      </c>
    </row>
    <row r="16" spans="1:5" x14ac:dyDescent="0.45">
      <c r="A16" s="18" t="s">
        <v>23</v>
      </c>
      <c r="B16" s="19">
        <v>1293219</v>
      </c>
      <c r="C16" s="20">
        <v>9.5067000338405466E-3</v>
      </c>
      <c r="D16" s="19">
        <v>14238</v>
      </c>
      <c r="E16" s="21">
        <v>791</v>
      </c>
    </row>
    <row r="17" spans="1:5" x14ac:dyDescent="0.45">
      <c r="A17" s="18" t="s">
        <v>12</v>
      </c>
      <c r="B17" s="19">
        <v>1007742</v>
      </c>
      <c r="C17" s="20">
        <v>7.4081040454111336E-3</v>
      </c>
      <c r="D17" s="19">
        <v>11416.5</v>
      </c>
      <c r="E17" s="21">
        <v>1141.6500000000001</v>
      </c>
    </row>
    <row r="18" spans="1:5" x14ac:dyDescent="0.45">
      <c r="A18" s="18" t="s">
        <v>24</v>
      </c>
      <c r="B18" s="19">
        <v>802447.5</v>
      </c>
      <c r="C18" s="20">
        <v>5.8989449392602969E-3</v>
      </c>
      <c r="D18" s="19">
        <v>9474</v>
      </c>
      <c r="E18" s="21">
        <v>1353.4285714285713</v>
      </c>
    </row>
    <row r="19" spans="1:5" x14ac:dyDescent="0.45">
      <c r="A19" s="18" t="s">
        <v>9</v>
      </c>
      <c r="B19" s="19">
        <v>636345</v>
      </c>
      <c r="C19" s="20">
        <v>4.6778937156307342E-3</v>
      </c>
      <c r="D19" s="19">
        <v>7816.5</v>
      </c>
      <c r="E19" s="21">
        <v>521.1</v>
      </c>
    </row>
    <row r="20" spans="1:5" x14ac:dyDescent="0.45">
      <c r="A20" s="18" t="s">
        <v>26</v>
      </c>
      <c r="B20" s="19">
        <v>410892</v>
      </c>
      <c r="C20" s="20">
        <v>3.0205456232121628E-3</v>
      </c>
      <c r="D20" s="19">
        <v>4408.5</v>
      </c>
      <c r="E20" s="21">
        <v>734.75</v>
      </c>
    </row>
    <row r="21" spans="1:5" x14ac:dyDescent="0.45">
      <c r="A21" s="18" t="s">
        <v>25</v>
      </c>
      <c r="B21" s="19">
        <v>389013</v>
      </c>
      <c r="C21" s="20">
        <v>2.8597089126160477E-3</v>
      </c>
      <c r="D21" s="19">
        <v>5166</v>
      </c>
      <c r="E21" s="21">
        <v>574</v>
      </c>
    </row>
    <row r="22" spans="1:5" x14ac:dyDescent="0.45">
      <c r="A22" s="16" t="s">
        <v>28</v>
      </c>
      <c r="B22" s="13">
        <v>136032376.68134999</v>
      </c>
      <c r="C22" s="17">
        <v>1</v>
      </c>
      <c r="D22" s="13">
        <v>1354929</v>
      </c>
      <c r="E22" s="14">
        <v>29160.974898842644</v>
      </c>
    </row>
  </sheetData>
  <conditionalFormatting pivot="1" sqref="C4:C21">
    <cfRule type="top10" dxfId="10" priority="4" rank="3"/>
  </conditionalFormatting>
  <conditionalFormatting sqref="A4:A6">
    <cfRule type="top10" dxfId="9" priority="3" rank="3"/>
  </conditionalFormatting>
  <conditionalFormatting sqref="A4:A21">
    <cfRule type="top10" dxfId="8" priority="2" rank="2"/>
  </conditionalFormatting>
  <conditionalFormatting pivot="1" sqref="E4:E21">
    <cfRule type="top10" dxfId="7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BB92-95C3-4E3A-9F9C-5AD41A993583}">
  <dimension ref="A1:C10"/>
  <sheetViews>
    <sheetView tabSelected="1" workbookViewId="0">
      <selection activeCell="D16" sqref="D16"/>
    </sheetView>
  </sheetViews>
  <sheetFormatPr defaultRowHeight="14.25" x14ac:dyDescent="0.45"/>
  <cols>
    <col min="1" max="1" width="15.9296875" bestFit="1" customWidth="1"/>
    <col min="2" max="2" width="23.73046875" bestFit="1" customWidth="1"/>
    <col min="3" max="36" width="27.59765625" bestFit="1" customWidth="1"/>
    <col min="37" max="37" width="28" bestFit="1" customWidth="1"/>
    <col min="38" max="38" width="31.86328125" bestFit="1" customWidth="1"/>
  </cols>
  <sheetData>
    <row r="1" spans="1:3" x14ac:dyDescent="0.45">
      <c r="A1" s="22" t="s">
        <v>1</v>
      </c>
      <c r="B1" s="23" t="s">
        <v>29</v>
      </c>
    </row>
    <row r="3" spans="1:3" x14ac:dyDescent="0.45">
      <c r="A3" s="22" t="s">
        <v>27</v>
      </c>
      <c r="B3" s="23" t="s">
        <v>34</v>
      </c>
      <c r="C3" s="23" t="s">
        <v>32</v>
      </c>
    </row>
    <row r="4" spans="1:3" x14ac:dyDescent="0.45">
      <c r="A4" s="18">
        <v>18</v>
      </c>
      <c r="B4" s="19">
        <v>836803032</v>
      </c>
      <c r="C4" s="21">
        <v>156122.16146654726</v>
      </c>
    </row>
    <row r="5" spans="1:3" x14ac:dyDescent="0.45">
      <c r="A5" s="18">
        <v>19</v>
      </c>
      <c r="B5" s="19">
        <v>983915409.85664999</v>
      </c>
      <c r="C5" s="21">
        <v>186417.90965082607</v>
      </c>
    </row>
    <row r="6" spans="1:3" x14ac:dyDescent="0.45">
      <c r="A6" s="18">
        <v>20</v>
      </c>
      <c r="B6" s="19">
        <v>947263006.72395003</v>
      </c>
      <c r="C6" s="21">
        <v>186765.70242570812</v>
      </c>
    </row>
    <row r="7" spans="1:3" x14ac:dyDescent="0.45">
      <c r="A7" s="18">
        <v>21</v>
      </c>
      <c r="B7" s="19">
        <v>1002691883.0466</v>
      </c>
      <c r="C7" s="21">
        <v>205470.13482469096</v>
      </c>
    </row>
    <row r="8" spans="1:3" x14ac:dyDescent="0.45">
      <c r="A8" s="18">
        <v>22</v>
      </c>
      <c r="B8" s="19">
        <v>1055653508.75385</v>
      </c>
      <c r="C8" s="21">
        <v>218168.56492422579</v>
      </c>
    </row>
    <row r="9" spans="1:3" x14ac:dyDescent="0.45">
      <c r="A9" s="18">
        <v>23</v>
      </c>
      <c r="B9" s="19">
        <v>136032376.68134999</v>
      </c>
      <c r="C9" s="21">
        <v>29160.974898842644</v>
      </c>
    </row>
    <row r="10" spans="1:3" x14ac:dyDescent="0.45">
      <c r="A10" s="18" t="s">
        <v>28</v>
      </c>
      <c r="B10" s="19">
        <v>4962359217.0623999</v>
      </c>
      <c r="C10" s="21">
        <v>982105.44819084089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086683-9E41-40A3-AF2A-35CFFBF45B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Лист2</vt:lpstr>
      <vt:lpstr>Объединение</vt:lpstr>
      <vt:lpstr>Сводная таблица 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Olga PC</cp:lastModifiedBy>
  <dcterms:created xsi:type="dcterms:W3CDTF">2021-09-13T10:17:58Z</dcterms:created>
  <dcterms:modified xsi:type="dcterms:W3CDTF">2025-12-01T16:53:46Z</dcterms:modified>
</cp:coreProperties>
</file>